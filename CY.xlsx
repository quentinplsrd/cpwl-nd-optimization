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qploussard\Documents\CPWL nD\"/>
    </mc:Choice>
  </mc:AlternateContent>
  <xr:revisionPtr revIDLastSave="0" documentId="13_ncr:1_{6C66ECCE-E2DD-4BD5-B517-7F3AF3AAB80E}" xr6:coauthVersionLast="47" xr6:coauthVersionMax="47" xr10:uidLastSave="{00000000-0000-0000-0000-000000000000}"/>
  <bookViews>
    <workbookView xWindow="28680" yWindow="16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2" i="1"/>
</calcChain>
</file>

<file path=xl/sharedStrings.xml><?xml version="1.0" encoding="utf-8"?>
<sst xmlns="http://schemas.openxmlformats.org/spreadsheetml/2006/main" count="8" uniqueCount="8">
  <si>
    <t xml:space="preserve">        DATETIME</t>
  </si>
  <si>
    <t xml:space="preserve">     SDI_1917</t>
  </si>
  <si>
    <t xml:space="preserve">     SDI_2260</t>
  </si>
  <si>
    <t xml:space="preserve">     SDI_1925</t>
  </si>
  <si>
    <t xml:space="preserve">     SDI_2270</t>
  </si>
  <si>
    <t>Release (AF)</t>
  </si>
  <si>
    <t>PCF (MWh/AF)</t>
  </si>
  <si>
    <t>Elevation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</si>
</sst>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selection activeCell="H2" sqref="H2:H181"/>
    </sheetView>
  </sheetViews>
  <sheetFormatPr defaultRowHeight="14.4"/>
  <cols>
    <col min="1" max="1" width="14.5546875" bestFit="1" customWidth="1"/>
    <col min="6" max="6" width="11.77734375" bestFit="1" customWidth="1"/>
    <col min="7" max="7" width="12.21875" bestFit="1" customWidth="1"/>
    <col min="8" max="8" width="13.7773437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>
      <c r="A2" s="2">
        <v>40452</v>
      </c>
      <c r="B2">
        <v>84990.991739999998</v>
      </c>
      <c r="C2">
        <v>84990.991739999998</v>
      </c>
      <c r="D2">
        <v>6750.41</v>
      </c>
      <c r="E2">
        <v>16299.29</v>
      </c>
      <c r="F2">
        <f>B2</f>
        <v>84990.991739999998</v>
      </c>
      <c r="G2">
        <f>D2</f>
        <v>6750.41</v>
      </c>
      <c r="H2">
        <f>IFERROR(E2/C2,NA())</f>
        <v>0.19177667734319348</v>
      </c>
    </row>
    <row r="3" spans="1:8">
      <c r="A3" s="2">
        <v>40483</v>
      </c>
      <c r="B3">
        <v>30101.074359999999</v>
      </c>
      <c r="C3">
        <v>30101.074359999999</v>
      </c>
      <c r="D3">
        <v>6748.6</v>
      </c>
      <c r="E3">
        <v>4183.7700000000004</v>
      </c>
      <c r="F3">
        <f t="shared" ref="F3:F66" si="0">B3</f>
        <v>30101.074359999999</v>
      </c>
      <c r="G3">
        <f>0.5*(D2+D3)</f>
        <v>6749.5050000000001</v>
      </c>
      <c r="H3">
        <f t="shared" ref="H3:H66" si="1">IFERROR(E3/C3,NA())</f>
        <v>0.13899072006411936</v>
      </c>
    </row>
    <row r="4" spans="1:8">
      <c r="A4" s="2">
        <v>40513</v>
      </c>
      <c r="B4">
        <v>30777.68591</v>
      </c>
      <c r="C4">
        <v>30777.68591</v>
      </c>
      <c r="D4">
        <v>6748.24</v>
      </c>
      <c r="E4">
        <v>4193.08</v>
      </c>
      <c r="F4">
        <f t="shared" si="0"/>
        <v>30777.68591</v>
      </c>
      <c r="G4">
        <f t="shared" ref="G4:G67" si="2">0.5*(D3+D4)</f>
        <v>6748.42</v>
      </c>
      <c r="H4">
        <f t="shared" si="1"/>
        <v>0.13623766296989934</v>
      </c>
    </row>
    <row r="5" spans="1:8">
      <c r="A5" s="2">
        <v>40544</v>
      </c>
      <c r="B5">
        <v>30813.5537</v>
      </c>
      <c r="C5">
        <v>30120.082620000001</v>
      </c>
      <c r="D5">
        <v>6749.02</v>
      </c>
      <c r="E5">
        <v>4126.05</v>
      </c>
      <c r="F5">
        <f t="shared" si="0"/>
        <v>30813.5537</v>
      </c>
      <c r="G5">
        <f t="shared" si="2"/>
        <v>6748.63</v>
      </c>
      <c r="H5">
        <f t="shared" si="1"/>
        <v>0.13698667603455597</v>
      </c>
    </row>
    <row r="6" spans="1:8">
      <c r="A6" s="2">
        <v>40575</v>
      </c>
      <c r="B6">
        <v>46477.438040000001</v>
      </c>
      <c r="C6">
        <v>23661.157029999998</v>
      </c>
      <c r="D6">
        <v>6751.55</v>
      </c>
      <c r="E6">
        <v>4432.58</v>
      </c>
      <c r="F6">
        <f t="shared" si="0"/>
        <v>46477.438040000001</v>
      </c>
      <c r="G6">
        <f t="shared" si="2"/>
        <v>6750.2849999999999</v>
      </c>
      <c r="H6">
        <f t="shared" si="1"/>
        <v>0.1873357247230103</v>
      </c>
    </row>
    <row r="7" spans="1:8">
      <c r="A7" s="2">
        <v>40603</v>
      </c>
      <c r="B7">
        <v>78227.685939999996</v>
      </c>
      <c r="C7">
        <v>78227.685939999996</v>
      </c>
      <c r="D7">
        <v>6751.94</v>
      </c>
      <c r="E7">
        <v>15233.77</v>
      </c>
      <c r="F7">
        <f t="shared" si="0"/>
        <v>78227.685939999996</v>
      </c>
      <c r="G7">
        <f t="shared" si="2"/>
        <v>6751.7449999999999</v>
      </c>
      <c r="H7">
        <f t="shared" si="1"/>
        <v>0.19473629849774898</v>
      </c>
    </row>
    <row r="8" spans="1:8">
      <c r="A8" s="2">
        <v>40634</v>
      </c>
      <c r="B8">
        <v>111538.42977</v>
      </c>
      <c r="C8">
        <v>109918.34712999999</v>
      </c>
      <c r="D8">
        <v>6752.03</v>
      </c>
      <c r="E8">
        <v>21118.98</v>
      </c>
      <c r="F8">
        <f t="shared" si="0"/>
        <v>111538.42977</v>
      </c>
      <c r="G8">
        <f t="shared" si="2"/>
        <v>6751.9849999999997</v>
      </c>
      <c r="H8">
        <f t="shared" si="1"/>
        <v>0.19213334762960604</v>
      </c>
    </row>
    <row r="9" spans="1:8">
      <c r="A9" s="2">
        <v>40664</v>
      </c>
      <c r="B9">
        <v>194290.90908000001</v>
      </c>
      <c r="C9">
        <v>126248.76032</v>
      </c>
      <c r="D9">
        <v>6753.39</v>
      </c>
      <c r="E9">
        <v>23258.62</v>
      </c>
      <c r="F9">
        <f t="shared" si="0"/>
        <v>194290.90908000001</v>
      </c>
      <c r="G9">
        <f t="shared" si="2"/>
        <v>6752.71</v>
      </c>
      <c r="H9">
        <f t="shared" si="1"/>
        <v>0.1842285020545697</v>
      </c>
    </row>
    <row r="10" spans="1:8">
      <c r="A10" s="2">
        <v>40695</v>
      </c>
      <c r="B10">
        <v>237383.05783999999</v>
      </c>
      <c r="C10">
        <v>120274.54545999999</v>
      </c>
      <c r="D10">
        <v>6752.9</v>
      </c>
      <c r="E10">
        <v>22519.08</v>
      </c>
      <c r="F10">
        <f t="shared" si="0"/>
        <v>237383.05783999999</v>
      </c>
      <c r="G10">
        <f t="shared" si="2"/>
        <v>6753.1450000000004</v>
      </c>
      <c r="H10">
        <f t="shared" si="1"/>
        <v>0.18723063898411679</v>
      </c>
    </row>
    <row r="11" spans="1:8">
      <c r="A11" s="2">
        <v>40725</v>
      </c>
      <c r="B11">
        <v>185814.33885999999</v>
      </c>
      <c r="C11">
        <v>127500.53716000001</v>
      </c>
      <c r="D11">
        <v>6739.47</v>
      </c>
      <c r="E11">
        <v>22314.235000000001</v>
      </c>
      <c r="F11">
        <f t="shared" si="0"/>
        <v>185814.33885999999</v>
      </c>
      <c r="G11">
        <f t="shared" si="2"/>
        <v>6746.1849999999995</v>
      </c>
      <c r="H11">
        <f t="shared" si="1"/>
        <v>0.17501287051048217</v>
      </c>
    </row>
    <row r="12" spans="1:8">
      <c r="A12" s="2">
        <v>40756</v>
      </c>
      <c r="B12">
        <v>128601.40496</v>
      </c>
      <c r="C12">
        <v>126324.38017</v>
      </c>
      <c r="D12">
        <v>6748.39</v>
      </c>
      <c r="E12">
        <v>22448.32</v>
      </c>
      <c r="F12">
        <f t="shared" si="0"/>
        <v>128601.40496</v>
      </c>
      <c r="G12">
        <f t="shared" si="2"/>
        <v>6743.93</v>
      </c>
      <c r="H12">
        <f t="shared" si="1"/>
        <v>0.17770378108952806</v>
      </c>
    </row>
    <row r="13" spans="1:8">
      <c r="A13" s="2">
        <v>40787</v>
      </c>
      <c r="B13">
        <v>119785.04132999999</v>
      </c>
      <c r="C13">
        <v>119767.27274</v>
      </c>
      <c r="D13">
        <v>6744.21</v>
      </c>
      <c r="E13">
        <v>22112.91</v>
      </c>
      <c r="F13">
        <f t="shared" si="0"/>
        <v>119785.04132999999</v>
      </c>
      <c r="G13">
        <f t="shared" si="2"/>
        <v>6746.3</v>
      </c>
      <c r="H13">
        <f t="shared" si="1"/>
        <v>0.18463232479213587</v>
      </c>
    </row>
    <row r="14" spans="1:8">
      <c r="A14" s="2">
        <v>40817</v>
      </c>
      <c r="B14">
        <v>94185.867750000005</v>
      </c>
      <c r="C14">
        <v>94185.867750000005</v>
      </c>
      <c r="D14">
        <v>6749.65</v>
      </c>
      <c r="E14">
        <v>18059.59</v>
      </c>
      <c r="F14">
        <f t="shared" si="0"/>
        <v>94185.867750000005</v>
      </c>
      <c r="G14">
        <f t="shared" si="2"/>
        <v>6746.93</v>
      </c>
      <c r="H14">
        <f t="shared" si="1"/>
        <v>0.19174415898504049</v>
      </c>
    </row>
    <row r="15" spans="1:8">
      <c r="A15" s="2">
        <v>40848</v>
      </c>
      <c r="B15">
        <v>41137.355369999997</v>
      </c>
      <c r="C15">
        <v>40516.942139999999</v>
      </c>
      <c r="D15">
        <v>6751.53</v>
      </c>
      <c r="E15">
        <v>6612.39</v>
      </c>
      <c r="F15">
        <f t="shared" si="0"/>
        <v>41137.355369999997</v>
      </c>
      <c r="G15">
        <f t="shared" si="2"/>
        <v>6750.59</v>
      </c>
      <c r="H15">
        <f t="shared" si="1"/>
        <v>0.16320061808099717</v>
      </c>
    </row>
    <row r="16" spans="1:8">
      <c r="A16" s="2">
        <v>40878</v>
      </c>
      <c r="B16">
        <v>88536.280970000007</v>
      </c>
      <c r="C16">
        <v>88536.280970000007</v>
      </c>
      <c r="D16">
        <v>6750.95</v>
      </c>
      <c r="E16">
        <v>17473.54</v>
      </c>
      <c r="F16">
        <f t="shared" si="0"/>
        <v>88536.280970000007</v>
      </c>
      <c r="G16">
        <f t="shared" si="2"/>
        <v>6751.24</v>
      </c>
      <c r="H16">
        <f t="shared" si="1"/>
        <v>0.19736022123993222</v>
      </c>
    </row>
    <row r="17" spans="1:8">
      <c r="A17" s="2">
        <v>40909</v>
      </c>
      <c r="B17">
        <v>55653.801679999997</v>
      </c>
      <c r="C17">
        <v>53064.214899999999</v>
      </c>
      <c r="D17">
        <v>6751.28</v>
      </c>
      <c r="E17">
        <v>9683.2199999999993</v>
      </c>
      <c r="F17">
        <f t="shared" si="0"/>
        <v>55653.801679999997</v>
      </c>
      <c r="G17">
        <f t="shared" si="2"/>
        <v>6751.1149999999998</v>
      </c>
      <c r="H17">
        <f t="shared" si="1"/>
        <v>0.18248116962152586</v>
      </c>
    </row>
    <row r="18" spans="1:8">
      <c r="A18" s="2">
        <v>40940</v>
      </c>
      <c r="B18">
        <v>37949.917370000003</v>
      </c>
      <c r="C18">
        <v>14837.93388</v>
      </c>
      <c r="D18">
        <v>6751.9</v>
      </c>
      <c r="E18">
        <v>2263.0500000000002</v>
      </c>
      <c r="F18">
        <f t="shared" si="0"/>
        <v>37949.917370000003</v>
      </c>
      <c r="G18">
        <f t="shared" si="2"/>
        <v>6751.59</v>
      </c>
      <c r="H18">
        <f t="shared" si="1"/>
        <v>0.15251786524337849</v>
      </c>
    </row>
    <row r="19" spans="1:8">
      <c r="A19" s="2">
        <v>40969</v>
      </c>
      <c r="B19">
        <v>40238.925600000002</v>
      </c>
      <c r="C19">
        <v>40238.925600000002</v>
      </c>
      <c r="D19">
        <v>6751.8</v>
      </c>
      <c r="E19">
        <v>6480.81</v>
      </c>
      <c r="F19">
        <f t="shared" si="0"/>
        <v>40238.925600000002</v>
      </c>
      <c r="G19">
        <f t="shared" si="2"/>
        <v>6751.85</v>
      </c>
      <c r="H19">
        <f t="shared" si="1"/>
        <v>0.16105822666398428</v>
      </c>
    </row>
    <row r="20" spans="1:8">
      <c r="A20" s="2">
        <v>41000</v>
      </c>
      <c r="B20">
        <v>71078.347120000006</v>
      </c>
      <c r="C20">
        <v>71078.347120000006</v>
      </c>
      <c r="D20">
        <v>6752.1</v>
      </c>
      <c r="E20">
        <v>13762.8</v>
      </c>
      <c r="F20">
        <f t="shared" si="0"/>
        <v>71078.347120000006</v>
      </c>
      <c r="G20">
        <f t="shared" si="2"/>
        <v>6751.9500000000007</v>
      </c>
      <c r="H20">
        <f t="shared" si="1"/>
        <v>0.19362858813760211</v>
      </c>
    </row>
    <row r="21" spans="1:8">
      <c r="A21" s="2">
        <v>41030</v>
      </c>
      <c r="B21">
        <v>86105.206590000002</v>
      </c>
      <c r="C21">
        <v>86105.206590000002</v>
      </c>
      <c r="D21">
        <v>6745.87</v>
      </c>
      <c r="E21">
        <v>16751.87</v>
      </c>
      <c r="F21">
        <f t="shared" si="0"/>
        <v>86105.206590000002</v>
      </c>
      <c r="G21">
        <f t="shared" si="2"/>
        <v>6748.9850000000006</v>
      </c>
      <c r="H21">
        <f t="shared" si="1"/>
        <v>0.19455118526996845</v>
      </c>
    </row>
    <row r="22" spans="1:8">
      <c r="A22" s="2">
        <v>41061</v>
      </c>
      <c r="B22">
        <v>96592.644620000006</v>
      </c>
      <c r="C22">
        <v>96592.479330000002</v>
      </c>
      <c r="D22">
        <v>6744.24</v>
      </c>
      <c r="E22">
        <v>18525.27</v>
      </c>
      <c r="F22">
        <f t="shared" si="0"/>
        <v>96592.644620000006</v>
      </c>
      <c r="G22">
        <f t="shared" si="2"/>
        <v>6745.0550000000003</v>
      </c>
      <c r="H22">
        <f t="shared" si="1"/>
        <v>0.19178791277020635</v>
      </c>
    </row>
    <row r="23" spans="1:8">
      <c r="A23" s="2">
        <v>41091</v>
      </c>
      <c r="B23">
        <v>92669.090899999996</v>
      </c>
      <c r="C23">
        <v>92669.090899999996</v>
      </c>
      <c r="D23">
        <v>6745.39</v>
      </c>
      <c r="E23">
        <v>17763.68</v>
      </c>
      <c r="F23">
        <f t="shared" si="0"/>
        <v>92669.090899999996</v>
      </c>
      <c r="G23">
        <f t="shared" si="2"/>
        <v>6744.8150000000005</v>
      </c>
      <c r="H23">
        <f t="shared" si="1"/>
        <v>0.1916893737434949</v>
      </c>
    </row>
    <row r="24" spans="1:8">
      <c r="A24" s="2">
        <v>41122</v>
      </c>
      <c r="B24">
        <v>83971.818190000005</v>
      </c>
      <c r="C24">
        <v>83971.818190000005</v>
      </c>
      <c r="D24">
        <v>6743.63</v>
      </c>
      <c r="E24">
        <v>15914.9</v>
      </c>
      <c r="F24">
        <f t="shared" si="0"/>
        <v>83971.818190000005</v>
      </c>
      <c r="G24">
        <f t="shared" si="2"/>
        <v>6744.51</v>
      </c>
      <c r="H24">
        <f t="shared" si="1"/>
        <v>0.18952668101088307</v>
      </c>
    </row>
    <row r="25" spans="1:8">
      <c r="A25" s="2">
        <v>41153</v>
      </c>
      <c r="B25">
        <v>73741.570269999997</v>
      </c>
      <c r="C25">
        <v>62508.595070000003</v>
      </c>
      <c r="D25">
        <v>6743.29</v>
      </c>
      <c r="E25">
        <v>11626.9</v>
      </c>
      <c r="F25">
        <f t="shared" si="0"/>
        <v>73741.570269999997</v>
      </c>
      <c r="G25">
        <f t="shared" si="2"/>
        <v>6743.46</v>
      </c>
      <c r="H25">
        <f t="shared" si="1"/>
        <v>0.18600482040877198</v>
      </c>
    </row>
    <row r="26" spans="1:8">
      <c r="A26" s="2">
        <v>41183</v>
      </c>
      <c r="B26">
        <v>40230.247929999998</v>
      </c>
      <c r="C26">
        <v>40230.247929999998</v>
      </c>
      <c r="D26">
        <v>6750.72</v>
      </c>
      <c r="E26">
        <v>6067.22</v>
      </c>
      <c r="F26">
        <f t="shared" si="0"/>
        <v>40230.247929999998</v>
      </c>
      <c r="G26">
        <f t="shared" si="2"/>
        <v>6747.0050000000001</v>
      </c>
      <c r="H26">
        <f t="shared" si="1"/>
        <v>0.1508123939617988</v>
      </c>
    </row>
    <row r="27" spans="1:8">
      <c r="A27" s="2">
        <v>41214</v>
      </c>
      <c r="B27">
        <v>20668.983479999999</v>
      </c>
      <c r="C27">
        <v>20668.89257</v>
      </c>
      <c r="D27">
        <v>6746.77</v>
      </c>
      <c r="E27">
        <v>1574.85</v>
      </c>
      <c r="F27">
        <f t="shared" si="0"/>
        <v>20668.983479999999</v>
      </c>
      <c r="G27">
        <f t="shared" si="2"/>
        <v>6748.7450000000008</v>
      </c>
      <c r="H27">
        <f t="shared" si="1"/>
        <v>7.6194212857142923E-2</v>
      </c>
    </row>
    <row r="28" spans="1:8">
      <c r="A28" s="2">
        <v>41244</v>
      </c>
      <c r="B28">
        <v>21537.27276</v>
      </c>
      <c r="C28">
        <v>21525.289290000001</v>
      </c>
      <c r="D28">
        <v>6749.11</v>
      </c>
      <c r="E28">
        <v>1714.16</v>
      </c>
      <c r="F28">
        <f t="shared" si="0"/>
        <v>21537.27276</v>
      </c>
      <c r="G28">
        <f t="shared" si="2"/>
        <v>6747.9400000000005</v>
      </c>
      <c r="H28">
        <f t="shared" si="1"/>
        <v>7.9634702089525319E-2</v>
      </c>
    </row>
    <row r="29" spans="1:8">
      <c r="A29" s="2">
        <v>41275</v>
      </c>
      <c r="B29">
        <v>21488.752120000001</v>
      </c>
      <c r="C29">
        <v>19012.338899999999</v>
      </c>
      <c r="D29">
        <v>6747.09</v>
      </c>
      <c r="E29">
        <v>1519.4</v>
      </c>
      <c r="F29">
        <f t="shared" si="0"/>
        <v>21488.752120000001</v>
      </c>
      <c r="G29">
        <f t="shared" si="2"/>
        <v>6748.1</v>
      </c>
      <c r="H29">
        <f t="shared" si="1"/>
        <v>7.9916522001404061E-2</v>
      </c>
    </row>
    <row r="30" spans="1:8">
      <c r="A30" s="2">
        <v>41306</v>
      </c>
      <c r="B30">
        <v>19431.454549999999</v>
      </c>
      <c r="C30">
        <v>10026</v>
      </c>
      <c r="D30">
        <v>6745.57</v>
      </c>
      <c r="E30">
        <v>778.13</v>
      </c>
      <c r="F30">
        <f t="shared" si="0"/>
        <v>19431.454549999999</v>
      </c>
      <c r="G30">
        <f t="shared" si="2"/>
        <v>6746.33</v>
      </c>
      <c r="H30">
        <f t="shared" si="1"/>
        <v>7.7611210851785364E-2</v>
      </c>
    </row>
    <row r="31" spans="1:8">
      <c r="A31" s="2">
        <v>41334</v>
      </c>
      <c r="B31">
        <v>21556.537219999998</v>
      </c>
      <c r="C31">
        <v>21556.537219999998</v>
      </c>
      <c r="D31">
        <v>6744.5</v>
      </c>
      <c r="E31">
        <v>1657.56</v>
      </c>
      <c r="F31">
        <f t="shared" si="0"/>
        <v>21556.537219999998</v>
      </c>
      <c r="G31">
        <f t="shared" si="2"/>
        <v>6745.0349999999999</v>
      </c>
      <c r="H31">
        <f t="shared" si="1"/>
        <v>7.6893611579791576E-2</v>
      </c>
    </row>
    <row r="32" spans="1:8">
      <c r="A32" s="2">
        <v>41365</v>
      </c>
      <c r="B32">
        <v>50526.694219999998</v>
      </c>
      <c r="C32">
        <v>50526.694219999998</v>
      </c>
      <c r="D32">
        <v>6738.38</v>
      </c>
      <c r="E32">
        <v>8423.3799999999992</v>
      </c>
      <c r="F32">
        <f t="shared" si="0"/>
        <v>50526.694219999998</v>
      </c>
      <c r="G32">
        <f t="shared" si="2"/>
        <v>6741.4400000000005</v>
      </c>
      <c r="H32">
        <f t="shared" si="1"/>
        <v>0.16671148053588217</v>
      </c>
    </row>
    <row r="33" spans="1:8">
      <c r="A33" s="2">
        <v>41395</v>
      </c>
      <c r="B33">
        <v>79939.504159999997</v>
      </c>
      <c r="C33">
        <v>79939.504159999997</v>
      </c>
      <c r="D33">
        <v>6736.96</v>
      </c>
      <c r="E33">
        <v>14659.9</v>
      </c>
      <c r="F33">
        <f t="shared" si="0"/>
        <v>79939.504159999997</v>
      </c>
      <c r="G33">
        <f t="shared" si="2"/>
        <v>6737.67</v>
      </c>
      <c r="H33">
        <f t="shared" si="1"/>
        <v>0.18338742720567808</v>
      </c>
    </row>
    <row r="34" spans="1:8">
      <c r="A34" s="2">
        <v>41426</v>
      </c>
      <c r="B34">
        <v>84082.231409999993</v>
      </c>
      <c r="C34">
        <v>84082.231409999993</v>
      </c>
      <c r="D34">
        <v>6744.76</v>
      </c>
      <c r="E34">
        <v>15941.03</v>
      </c>
      <c r="F34">
        <f t="shared" si="0"/>
        <v>84082.231409999993</v>
      </c>
      <c r="G34">
        <f t="shared" si="2"/>
        <v>6740.8600000000006</v>
      </c>
      <c r="H34">
        <f t="shared" si="1"/>
        <v>0.18958856981647748</v>
      </c>
    </row>
    <row r="35" spans="1:8">
      <c r="A35" s="2">
        <v>41456</v>
      </c>
      <c r="B35">
        <v>101512.64462000001</v>
      </c>
      <c r="C35">
        <v>101000.49586</v>
      </c>
      <c r="D35">
        <v>6748.24</v>
      </c>
      <c r="E35">
        <v>19510.05</v>
      </c>
      <c r="F35">
        <f t="shared" si="0"/>
        <v>101512.64462000001</v>
      </c>
      <c r="G35">
        <f t="shared" si="2"/>
        <v>6746.5</v>
      </c>
      <c r="H35">
        <f t="shared" si="1"/>
        <v>0.19316786352260587</v>
      </c>
    </row>
    <row r="36" spans="1:8">
      <c r="A36" s="2">
        <v>41487</v>
      </c>
      <c r="B36">
        <v>92637.603310000006</v>
      </c>
      <c r="C36">
        <v>91595.537190000003</v>
      </c>
      <c r="D36">
        <v>6745.72</v>
      </c>
      <c r="E36">
        <v>17793.78</v>
      </c>
      <c r="F36">
        <f t="shared" si="0"/>
        <v>92637.603310000006</v>
      </c>
      <c r="G36">
        <f t="shared" si="2"/>
        <v>6746.98</v>
      </c>
      <c r="H36">
        <f t="shared" si="1"/>
        <v>0.19426470487409997</v>
      </c>
    </row>
    <row r="37" spans="1:8">
      <c r="A37" s="2">
        <v>41518</v>
      </c>
      <c r="B37">
        <v>73445.289250000002</v>
      </c>
      <c r="C37">
        <v>73445.289250000002</v>
      </c>
      <c r="D37">
        <v>6746.17</v>
      </c>
      <c r="E37">
        <v>13899.07</v>
      </c>
      <c r="F37">
        <f t="shared" si="0"/>
        <v>73445.289250000002</v>
      </c>
      <c r="G37">
        <f t="shared" si="2"/>
        <v>6745.9449999999997</v>
      </c>
      <c r="H37">
        <f t="shared" si="1"/>
        <v>0.18924385950321518</v>
      </c>
    </row>
    <row r="38" spans="1:8">
      <c r="A38" s="2">
        <v>41548</v>
      </c>
      <c r="B38">
        <v>55507.867769999997</v>
      </c>
      <c r="C38">
        <v>55507.867769999997</v>
      </c>
      <c r="D38">
        <v>6741.56</v>
      </c>
      <c r="E38">
        <v>9861.0300000000007</v>
      </c>
      <c r="F38">
        <f t="shared" si="0"/>
        <v>55507.867769999997</v>
      </c>
      <c r="G38">
        <f t="shared" si="2"/>
        <v>6743.8649999999998</v>
      </c>
      <c r="H38">
        <f t="shared" si="1"/>
        <v>0.17765103211782046</v>
      </c>
    </row>
    <row r="39" spans="1:8">
      <c r="A39" s="2">
        <v>41579</v>
      </c>
      <c r="B39">
        <v>19033.80169</v>
      </c>
      <c r="C39">
        <v>15353.966979999999</v>
      </c>
      <c r="D39">
        <v>6748.85</v>
      </c>
      <c r="E39">
        <v>1033.6500000000001</v>
      </c>
      <c r="F39">
        <f t="shared" si="0"/>
        <v>19033.80169</v>
      </c>
      <c r="G39">
        <f t="shared" si="2"/>
        <v>6745.2049999999999</v>
      </c>
      <c r="H39">
        <f t="shared" si="1"/>
        <v>6.7321364006215939E-2</v>
      </c>
    </row>
    <row r="40" spans="1:8">
      <c r="A40" s="2">
        <v>41609</v>
      </c>
      <c r="B40">
        <v>20122.644680000001</v>
      </c>
      <c r="C40">
        <v>20122.644680000001</v>
      </c>
      <c r="D40">
        <v>6749.68</v>
      </c>
      <c r="E40">
        <v>1445.05</v>
      </c>
      <c r="F40">
        <f t="shared" si="0"/>
        <v>20122.644680000001</v>
      </c>
      <c r="G40">
        <f t="shared" si="2"/>
        <v>6749.2650000000003</v>
      </c>
      <c r="H40">
        <f t="shared" si="1"/>
        <v>7.1812131207397531E-2</v>
      </c>
    </row>
    <row r="41" spans="1:8">
      <c r="A41" s="2">
        <v>41640</v>
      </c>
      <c r="B41">
        <v>19763.140510000001</v>
      </c>
      <c r="C41">
        <v>6101.6528900000003</v>
      </c>
      <c r="D41">
        <v>6746.01</v>
      </c>
      <c r="E41">
        <v>469.78</v>
      </c>
      <c r="F41">
        <f t="shared" si="0"/>
        <v>19763.140510000001</v>
      </c>
      <c r="G41">
        <f t="shared" si="2"/>
        <v>6747.8450000000003</v>
      </c>
      <c r="H41">
        <f t="shared" si="1"/>
        <v>7.6992252504222661E-2</v>
      </c>
    </row>
    <row r="42" spans="1:8">
      <c r="A42" s="2">
        <v>41671</v>
      </c>
      <c r="B42">
        <v>19622.31408</v>
      </c>
      <c r="C42">
        <v>2901.9008199999998</v>
      </c>
      <c r="D42">
        <v>6743.52</v>
      </c>
      <c r="E42">
        <v>295.61</v>
      </c>
      <c r="F42">
        <f t="shared" si="0"/>
        <v>19622.31408</v>
      </c>
      <c r="G42">
        <f t="shared" si="2"/>
        <v>6744.7650000000003</v>
      </c>
      <c r="H42">
        <f t="shared" si="1"/>
        <v>0.10186771303920719</v>
      </c>
    </row>
    <row r="43" spans="1:8">
      <c r="A43" s="2">
        <v>41699</v>
      </c>
      <c r="B43">
        <v>30504.21488</v>
      </c>
      <c r="C43">
        <v>30381.239689999999</v>
      </c>
      <c r="D43">
        <v>6744.65</v>
      </c>
      <c r="E43">
        <v>3957.1</v>
      </c>
      <c r="F43">
        <f t="shared" si="0"/>
        <v>30504.21488</v>
      </c>
      <c r="G43">
        <f t="shared" si="2"/>
        <v>6744.085</v>
      </c>
      <c r="H43">
        <f t="shared" si="1"/>
        <v>0.13024814129959553</v>
      </c>
    </row>
    <row r="44" spans="1:8">
      <c r="A44" s="2">
        <v>41730</v>
      </c>
      <c r="B44">
        <v>53490.082670000003</v>
      </c>
      <c r="C44">
        <v>53371.074370000002</v>
      </c>
      <c r="D44">
        <v>6743.26</v>
      </c>
      <c r="E44">
        <v>9366.09</v>
      </c>
      <c r="F44">
        <f t="shared" si="0"/>
        <v>53490.082670000003</v>
      </c>
      <c r="G44">
        <f t="shared" si="2"/>
        <v>6743.9549999999999</v>
      </c>
      <c r="H44">
        <f t="shared" si="1"/>
        <v>0.17549000297555747</v>
      </c>
    </row>
    <row r="45" spans="1:8">
      <c r="A45" s="2">
        <v>41760</v>
      </c>
      <c r="B45">
        <v>117620.16529999999</v>
      </c>
      <c r="C45">
        <v>87672.562009999994</v>
      </c>
      <c r="D45">
        <v>6758.88</v>
      </c>
      <c r="E45">
        <v>16669.61</v>
      </c>
      <c r="F45">
        <f t="shared" si="0"/>
        <v>117620.16529999999</v>
      </c>
      <c r="G45">
        <f t="shared" si="2"/>
        <v>6751.07</v>
      </c>
      <c r="H45">
        <f t="shared" si="1"/>
        <v>0.19013485653697051</v>
      </c>
    </row>
    <row r="46" spans="1:8">
      <c r="A46" s="2">
        <v>41791</v>
      </c>
      <c r="B46">
        <v>419308.84299999999</v>
      </c>
      <c r="C46">
        <v>107720.49587</v>
      </c>
      <c r="D46">
        <v>6751.56</v>
      </c>
      <c r="E46">
        <v>21211.93</v>
      </c>
      <c r="F46">
        <f t="shared" si="0"/>
        <v>419308.84299999999</v>
      </c>
      <c r="G46">
        <f t="shared" si="2"/>
        <v>6755.22</v>
      </c>
      <c r="H46">
        <f t="shared" si="1"/>
        <v>0.19691637908536117</v>
      </c>
    </row>
    <row r="47" spans="1:8">
      <c r="A47" s="2">
        <v>41821</v>
      </c>
      <c r="B47">
        <v>120432.14876</v>
      </c>
      <c r="C47">
        <v>118616.36364</v>
      </c>
      <c r="D47">
        <v>6749.06</v>
      </c>
      <c r="E47">
        <v>22012.65</v>
      </c>
      <c r="F47">
        <f t="shared" si="0"/>
        <v>120432.14876</v>
      </c>
      <c r="G47">
        <f t="shared" si="2"/>
        <v>6750.31</v>
      </c>
      <c r="H47">
        <f t="shared" si="1"/>
        <v>0.1855785266424814</v>
      </c>
    </row>
    <row r="48" spans="1:8">
      <c r="A48" s="2">
        <v>41852</v>
      </c>
      <c r="B48">
        <v>108481.40497</v>
      </c>
      <c r="C48">
        <v>108355.04132999999</v>
      </c>
      <c r="D48">
        <v>6749.65</v>
      </c>
      <c r="E48">
        <v>20834.53</v>
      </c>
      <c r="F48">
        <f t="shared" si="0"/>
        <v>108481.40497</v>
      </c>
      <c r="G48">
        <f t="shared" si="2"/>
        <v>6749.3549999999996</v>
      </c>
      <c r="H48">
        <f t="shared" si="1"/>
        <v>0.19228020906334695</v>
      </c>
    </row>
    <row r="49" spans="1:8">
      <c r="A49" s="2">
        <v>41883</v>
      </c>
      <c r="B49">
        <v>86800.859500000006</v>
      </c>
      <c r="C49">
        <v>84287.140469999998</v>
      </c>
      <c r="D49">
        <v>6747.57</v>
      </c>
      <c r="E49">
        <v>16403.07</v>
      </c>
      <c r="F49">
        <f t="shared" si="0"/>
        <v>86800.859500000006</v>
      </c>
      <c r="G49">
        <f t="shared" si="2"/>
        <v>6748.61</v>
      </c>
      <c r="H49">
        <f t="shared" si="1"/>
        <v>0.19460940196254828</v>
      </c>
    </row>
    <row r="50" spans="1:8">
      <c r="A50" s="2">
        <v>41913</v>
      </c>
      <c r="B50">
        <v>73769.504119999998</v>
      </c>
      <c r="C50">
        <v>73636.694189999995</v>
      </c>
      <c r="D50">
        <v>6745.88</v>
      </c>
      <c r="E50">
        <v>14079.2</v>
      </c>
      <c r="F50">
        <f t="shared" si="0"/>
        <v>73769.504119999998</v>
      </c>
      <c r="G50">
        <f t="shared" si="2"/>
        <v>6746.7250000000004</v>
      </c>
      <c r="H50">
        <f t="shared" si="1"/>
        <v>0.19119815405716548</v>
      </c>
    </row>
    <row r="51" spans="1:8">
      <c r="A51" s="2">
        <v>41944</v>
      </c>
      <c r="B51">
        <v>29580.198329999999</v>
      </c>
      <c r="C51">
        <v>29472.438040000001</v>
      </c>
      <c r="D51">
        <v>6748.06</v>
      </c>
      <c r="E51">
        <v>3903.9</v>
      </c>
      <c r="F51">
        <f t="shared" si="0"/>
        <v>29580.198329999999</v>
      </c>
      <c r="G51">
        <f t="shared" si="2"/>
        <v>6746.97</v>
      </c>
      <c r="H51">
        <f t="shared" si="1"/>
        <v>0.13245935048541371</v>
      </c>
    </row>
    <row r="52" spans="1:8">
      <c r="A52" s="2">
        <v>41974</v>
      </c>
      <c r="B52">
        <v>61408.264450000002</v>
      </c>
      <c r="C52">
        <v>61286.776870000002</v>
      </c>
      <c r="D52">
        <v>6746.42</v>
      </c>
      <c r="E52">
        <v>11258.235000000001</v>
      </c>
      <c r="F52">
        <f t="shared" si="0"/>
        <v>61408.264450000002</v>
      </c>
      <c r="G52">
        <f t="shared" si="2"/>
        <v>6747.24</v>
      </c>
      <c r="H52">
        <f t="shared" si="1"/>
        <v>0.18369761920880079</v>
      </c>
    </row>
    <row r="53" spans="1:8">
      <c r="A53" s="2">
        <v>42005</v>
      </c>
      <c r="B53">
        <v>64303.057840000001</v>
      </c>
      <c r="C53">
        <v>55199.33885</v>
      </c>
      <c r="D53">
        <v>6746.05</v>
      </c>
      <c r="E53">
        <v>10284.48</v>
      </c>
      <c r="F53">
        <f t="shared" si="0"/>
        <v>64303.057840000001</v>
      </c>
      <c r="G53">
        <f t="shared" si="2"/>
        <v>6746.2350000000006</v>
      </c>
      <c r="H53">
        <f t="shared" si="1"/>
        <v>0.18631527504246548</v>
      </c>
    </row>
    <row r="54" spans="1:8">
      <c r="A54" s="2">
        <v>42036</v>
      </c>
      <c r="B54">
        <v>33276.115680000003</v>
      </c>
      <c r="C54">
        <v>11060.08265</v>
      </c>
      <c r="D54">
        <v>6751.96</v>
      </c>
      <c r="E54">
        <v>1670.08</v>
      </c>
      <c r="F54">
        <f t="shared" si="0"/>
        <v>33276.115680000003</v>
      </c>
      <c r="G54">
        <f t="shared" si="2"/>
        <v>6749.0050000000001</v>
      </c>
      <c r="H54">
        <f t="shared" si="1"/>
        <v>0.15100067990902399</v>
      </c>
    </row>
    <row r="55" spans="1:8">
      <c r="A55" s="2">
        <v>42064</v>
      </c>
      <c r="B55">
        <v>34806.636350000001</v>
      </c>
      <c r="C55">
        <v>34521.594989999998</v>
      </c>
      <c r="D55">
        <v>6752</v>
      </c>
      <c r="E55">
        <v>5145.26</v>
      </c>
      <c r="F55">
        <f t="shared" si="0"/>
        <v>34806.636350000001</v>
      </c>
      <c r="G55">
        <f t="shared" si="2"/>
        <v>6751.98</v>
      </c>
      <c r="H55">
        <f t="shared" si="1"/>
        <v>0.1490446777297065</v>
      </c>
    </row>
    <row r="56" spans="1:8">
      <c r="A56" s="2">
        <v>42095</v>
      </c>
      <c r="B56">
        <v>57971.900840000002</v>
      </c>
      <c r="C56">
        <v>57852.892549999997</v>
      </c>
      <c r="D56">
        <v>6751.65</v>
      </c>
      <c r="E56">
        <v>10593.06</v>
      </c>
      <c r="F56">
        <f t="shared" si="0"/>
        <v>57971.900840000002</v>
      </c>
      <c r="G56">
        <f t="shared" si="2"/>
        <v>6751.8249999999998</v>
      </c>
      <c r="H56">
        <f t="shared" si="1"/>
        <v>0.18310337708429758</v>
      </c>
    </row>
    <row r="57" spans="1:8">
      <c r="A57" s="2">
        <v>42125</v>
      </c>
      <c r="B57">
        <v>96439.586769999994</v>
      </c>
      <c r="C57">
        <v>90289.669439999998</v>
      </c>
      <c r="D57">
        <v>6752.09</v>
      </c>
      <c r="E57">
        <v>17668.16</v>
      </c>
      <c r="F57">
        <f t="shared" si="0"/>
        <v>96439.586769999994</v>
      </c>
      <c r="G57">
        <f t="shared" si="2"/>
        <v>6751.87</v>
      </c>
      <c r="H57">
        <f t="shared" si="1"/>
        <v>0.19568307326389078</v>
      </c>
    </row>
    <row r="58" spans="1:8">
      <c r="A58" s="2">
        <v>42156</v>
      </c>
      <c r="B58">
        <v>251512.39668999999</v>
      </c>
      <c r="C58">
        <v>109754.29749</v>
      </c>
      <c r="D58">
        <v>6755.8</v>
      </c>
      <c r="E58">
        <v>21129.39</v>
      </c>
      <c r="F58">
        <f t="shared" si="0"/>
        <v>251512.39668999999</v>
      </c>
      <c r="G58">
        <f t="shared" si="2"/>
        <v>6753.9449999999997</v>
      </c>
      <c r="H58">
        <f t="shared" si="1"/>
        <v>0.19251537737668226</v>
      </c>
    </row>
    <row r="59" spans="1:8">
      <c r="A59" s="2">
        <v>42186</v>
      </c>
      <c r="B59">
        <v>157684.79337999999</v>
      </c>
      <c r="C59">
        <v>113978.92561999999</v>
      </c>
      <c r="D59">
        <v>6751.21</v>
      </c>
      <c r="E59">
        <v>22018.080000000002</v>
      </c>
      <c r="F59">
        <f t="shared" si="0"/>
        <v>157684.79337999999</v>
      </c>
      <c r="G59">
        <f t="shared" si="2"/>
        <v>6753.5050000000001</v>
      </c>
      <c r="H59">
        <f t="shared" si="1"/>
        <v>0.19317676386428814</v>
      </c>
    </row>
    <row r="60" spans="1:8">
      <c r="A60" s="2">
        <v>42217</v>
      </c>
      <c r="B60">
        <v>110561.15704000001</v>
      </c>
      <c r="C60">
        <v>110252.06612</v>
      </c>
      <c r="D60">
        <v>6749.17</v>
      </c>
      <c r="E60">
        <v>21400.58</v>
      </c>
      <c r="F60">
        <f t="shared" si="0"/>
        <v>110561.15704000001</v>
      </c>
      <c r="G60">
        <f t="shared" si="2"/>
        <v>6750.1900000000005</v>
      </c>
      <c r="H60">
        <f t="shared" si="1"/>
        <v>0.19410593155421949</v>
      </c>
    </row>
    <row r="61" spans="1:8">
      <c r="A61" s="2">
        <v>42248</v>
      </c>
      <c r="B61">
        <v>106941.32227999999</v>
      </c>
      <c r="C61">
        <v>96104.049589999995</v>
      </c>
      <c r="D61">
        <v>6744.61</v>
      </c>
      <c r="E61">
        <v>18196.669999999998</v>
      </c>
      <c r="F61">
        <f t="shared" si="0"/>
        <v>106941.32227999999</v>
      </c>
      <c r="G61">
        <f t="shared" si="2"/>
        <v>6746.8899999999994</v>
      </c>
      <c r="H61">
        <f t="shared" si="1"/>
        <v>0.18934342598080731</v>
      </c>
    </row>
    <row r="62" spans="1:8">
      <c r="A62" s="2">
        <v>42278</v>
      </c>
      <c r="B62">
        <v>94291.983460000003</v>
      </c>
      <c r="C62">
        <v>0</v>
      </c>
      <c r="D62">
        <v>6750.81</v>
      </c>
      <c r="E62">
        <v>0</v>
      </c>
      <c r="F62">
        <f t="shared" si="0"/>
        <v>94291.983460000003</v>
      </c>
      <c r="G62">
        <f t="shared" si="2"/>
        <v>6747.71</v>
      </c>
      <c r="H62" t="e">
        <f t="shared" si="1"/>
        <v>#N/A</v>
      </c>
    </row>
    <row r="63" spans="1:8">
      <c r="A63" s="2">
        <v>42309</v>
      </c>
      <c r="B63">
        <v>50027.603309999999</v>
      </c>
      <c r="C63">
        <v>0</v>
      </c>
      <c r="D63">
        <v>6750.12</v>
      </c>
      <c r="E63">
        <v>0</v>
      </c>
      <c r="F63">
        <f t="shared" si="0"/>
        <v>50027.603309999999</v>
      </c>
      <c r="G63">
        <f t="shared" si="2"/>
        <v>6750.4650000000001</v>
      </c>
      <c r="H63" t="e">
        <f t="shared" si="1"/>
        <v>#N/A</v>
      </c>
    </row>
    <row r="64" spans="1:8">
      <c r="A64" s="2">
        <v>42339</v>
      </c>
      <c r="B64">
        <v>51794.545440000002</v>
      </c>
      <c r="C64">
        <v>40094.049570000003</v>
      </c>
      <c r="D64">
        <v>6747.07</v>
      </c>
      <c r="E64">
        <v>7058.77</v>
      </c>
      <c r="F64">
        <f t="shared" si="0"/>
        <v>51794.545440000002</v>
      </c>
      <c r="G64">
        <f t="shared" si="2"/>
        <v>6748.5949999999993</v>
      </c>
      <c r="H64">
        <f t="shared" si="1"/>
        <v>0.17605530186408655</v>
      </c>
    </row>
    <row r="65" spans="1:8">
      <c r="A65" s="2">
        <v>42370</v>
      </c>
      <c r="B65">
        <v>67617.024810000003</v>
      </c>
      <c r="C65">
        <v>67494.049580000006</v>
      </c>
      <c r="D65">
        <v>6748.2</v>
      </c>
      <c r="E65">
        <v>12550.74</v>
      </c>
      <c r="F65">
        <f t="shared" si="0"/>
        <v>67617.024810000003</v>
      </c>
      <c r="G65">
        <f t="shared" si="2"/>
        <v>6747.6350000000002</v>
      </c>
      <c r="H65">
        <f t="shared" si="1"/>
        <v>0.18595328148333634</v>
      </c>
    </row>
    <row r="66" spans="1:8">
      <c r="A66" s="2">
        <v>42401</v>
      </c>
      <c r="B66">
        <v>63102.132259999998</v>
      </c>
      <c r="C66">
        <v>62987.256139999998</v>
      </c>
      <c r="D66">
        <v>6752.48</v>
      </c>
      <c r="E66">
        <v>11786.16</v>
      </c>
      <c r="F66">
        <f t="shared" si="0"/>
        <v>63102.132259999998</v>
      </c>
      <c r="G66">
        <f t="shared" si="2"/>
        <v>6750.34</v>
      </c>
      <c r="H66">
        <f t="shared" si="1"/>
        <v>0.18711975599958244</v>
      </c>
    </row>
    <row r="67" spans="1:8">
      <c r="A67" s="2">
        <v>42430</v>
      </c>
      <c r="B67">
        <v>41283.289239999998</v>
      </c>
      <c r="C67">
        <v>41161.801650000001</v>
      </c>
      <c r="D67">
        <v>6752.32</v>
      </c>
      <c r="E67">
        <v>6724.11</v>
      </c>
      <c r="F67">
        <f t="shared" ref="F67:F130" si="3">B67</f>
        <v>41283.289239999998</v>
      </c>
      <c r="G67">
        <f t="shared" si="2"/>
        <v>6752.4</v>
      </c>
      <c r="H67">
        <f t="shared" ref="H67:H130" si="4">IFERROR(E67/C67,NA())</f>
        <v>0.16335800986495447</v>
      </c>
    </row>
    <row r="68" spans="1:8">
      <c r="A68" s="2">
        <v>42461</v>
      </c>
      <c r="B68">
        <v>80236.446290000007</v>
      </c>
      <c r="C68">
        <v>80054.462780000002</v>
      </c>
      <c r="D68">
        <v>6751.41</v>
      </c>
      <c r="E68">
        <v>15745.34</v>
      </c>
      <c r="F68">
        <f t="shared" si="3"/>
        <v>80236.446290000007</v>
      </c>
      <c r="G68">
        <f t="shared" ref="G68:G131" si="5">0.5*(D67+D68)</f>
        <v>6751.8649999999998</v>
      </c>
      <c r="H68">
        <f t="shared" si="4"/>
        <v>0.19668285131423874</v>
      </c>
    </row>
    <row r="69" spans="1:8">
      <c r="A69" s="2">
        <v>42491</v>
      </c>
      <c r="B69">
        <v>201189.42149000001</v>
      </c>
      <c r="C69">
        <v>108517.19009</v>
      </c>
      <c r="D69">
        <v>6753.13</v>
      </c>
      <c r="E69">
        <v>21101.74</v>
      </c>
      <c r="F69">
        <f t="shared" si="3"/>
        <v>201189.42149000001</v>
      </c>
      <c r="G69">
        <f t="shared" si="5"/>
        <v>6752.27</v>
      </c>
      <c r="H69">
        <f t="shared" si="4"/>
        <v>0.19445527462053733</v>
      </c>
    </row>
    <row r="70" spans="1:8">
      <c r="A70" s="2">
        <v>42522</v>
      </c>
      <c r="B70">
        <v>93455.041339999996</v>
      </c>
      <c r="C70">
        <v>73553.140480000002</v>
      </c>
      <c r="D70">
        <v>6752</v>
      </c>
      <c r="E70">
        <v>14616.74</v>
      </c>
      <c r="F70">
        <f t="shared" si="3"/>
        <v>93455.041339999996</v>
      </c>
      <c r="G70">
        <f t="shared" si="5"/>
        <v>6752.5650000000005</v>
      </c>
      <c r="H70">
        <f t="shared" si="4"/>
        <v>0.1987235338234738</v>
      </c>
    </row>
    <row r="71" spans="1:8">
      <c r="A71" s="2">
        <v>42552</v>
      </c>
      <c r="B71">
        <v>119180.49588</v>
      </c>
      <c r="C71">
        <v>117395.70247</v>
      </c>
      <c r="D71">
        <v>6750.04</v>
      </c>
      <c r="E71">
        <v>22259.72</v>
      </c>
      <c r="F71">
        <f t="shared" si="3"/>
        <v>119180.49588</v>
      </c>
      <c r="G71">
        <f t="shared" si="5"/>
        <v>6751.02</v>
      </c>
      <c r="H71">
        <f t="shared" si="4"/>
        <v>0.18961273310399401</v>
      </c>
    </row>
    <row r="72" spans="1:8">
      <c r="A72" s="2">
        <v>42583</v>
      </c>
      <c r="B72">
        <v>114441.07438999999</v>
      </c>
      <c r="C72">
        <v>114284.79341</v>
      </c>
      <c r="D72">
        <v>6749.3</v>
      </c>
      <c r="E72">
        <v>21618.65</v>
      </c>
      <c r="F72">
        <f t="shared" si="3"/>
        <v>114441.07438999999</v>
      </c>
      <c r="G72">
        <f t="shared" si="5"/>
        <v>6749.67</v>
      </c>
      <c r="H72">
        <f t="shared" si="4"/>
        <v>0.189164711725404</v>
      </c>
    </row>
    <row r="73" spans="1:8">
      <c r="A73" s="2">
        <v>42614</v>
      </c>
      <c r="B73">
        <v>106957.76863999999</v>
      </c>
      <c r="C73">
        <v>105813.719</v>
      </c>
      <c r="D73">
        <v>6747.05</v>
      </c>
      <c r="E73">
        <v>20383.580000000002</v>
      </c>
      <c r="F73">
        <f t="shared" si="3"/>
        <v>106957.76863999999</v>
      </c>
      <c r="G73">
        <f t="shared" si="5"/>
        <v>6748.1750000000002</v>
      </c>
      <c r="H73">
        <f t="shared" si="4"/>
        <v>0.19263645766008849</v>
      </c>
    </row>
    <row r="74" spans="1:8">
      <c r="A74" s="2">
        <v>42644</v>
      </c>
      <c r="B74">
        <v>96881.487590000004</v>
      </c>
      <c r="C74">
        <v>96717.272729999997</v>
      </c>
      <c r="D74">
        <v>6747.92</v>
      </c>
      <c r="E74">
        <v>18895.36</v>
      </c>
      <c r="F74">
        <f t="shared" si="3"/>
        <v>96881.487590000004</v>
      </c>
      <c r="G74">
        <f t="shared" si="5"/>
        <v>6747.4850000000006</v>
      </c>
      <c r="H74">
        <f t="shared" si="4"/>
        <v>0.19536696462429293</v>
      </c>
    </row>
    <row r="75" spans="1:8">
      <c r="A75" s="2">
        <v>42675</v>
      </c>
      <c r="B75">
        <v>37187.041340000003</v>
      </c>
      <c r="C75">
        <v>37068.76859</v>
      </c>
      <c r="D75">
        <v>6750.47</v>
      </c>
      <c r="E75">
        <v>5769.52</v>
      </c>
      <c r="F75">
        <f t="shared" si="3"/>
        <v>37187.041340000003</v>
      </c>
      <c r="G75">
        <f t="shared" si="5"/>
        <v>6749.1949999999997</v>
      </c>
      <c r="H75">
        <f t="shared" si="4"/>
        <v>0.15564369196651537</v>
      </c>
    </row>
    <row r="76" spans="1:8">
      <c r="A76" s="2">
        <v>42705</v>
      </c>
      <c r="B76">
        <v>37212.214890000003</v>
      </c>
      <c r="C76">
        <v>35931.454530000003</v>
      </c>
      <c r="D76">
        <v>6751.45</v>
      </c>
      <c r="E76">
        <v>5530.81</v>
      </c>
      <c r="F76">
        <f t="shared" si="3"/>
        <v>37212.214890000003</v>
      </c>
      <c r="G76">
        <f t="shared" si="5"/>
        <v>6750.96</v>
      </c>
      <c r="H76">
        <f t="shared" si="4"/>
        <v>0.15392669382148721</v>
      </c>
    </row>
    <row r="77" spans="1:8">
      <c r="A77" s="2">
        <v>42736</v>
      </c>
      <c r="B77">
        <v>37493.057820000002</v>
      </c>
      <c r="C77">
        <v>35906.611570000001</v>
      </c>
      <c r="D77">
        <v>6750.29</v>
      </c>
      <c r="E77">
        <v>5472.87</v>
      </c>
      <c r="F77">
        <f t="shared" si="3"/>
        <v>37493.057820000002</v>
      </c>
      <c r="G77">
        <f t="shared" si="5"/>
        <v>6750.87</v>
      </c>
      <c r="H77">
        <f t="shared" si="4"/>
        <v>0.15241956176596141</v>
      </c>
    </row>
    <row r="78" spans="1:8">
      <c r="A78" s="2">
        <v>42767</v>
      </c>
      <c r="B78">
        <v>59654.049579999999</v>
      </c>
      <c r="C78">
        <v>55762.727270000003</v>
      </c>
      <c r="D78">
        <v>6749.56</v>
      </c>
      <c r="E78">
        <v>10336.969999999999</v>
      </c>
      <c r="F78">
        <f t="shared" si="3"/>
        <v>59654.049579999999</v>
      </c>
      <c r="G78">
        <f t="shared" si="5"/>
        <v>6749.9250000000002</v>
      </c>
      <c r="H78">
        <f t="shared" si="4"/>
        <v>0.1853741828291319</v>
      </c>
    </row>
    <row r="79" spans="1:8">
      <c r="A79" s="2">
        <v>42795</v>
      </c>
      <c r="B79">
        <v>73288.760339999993</v>
      </c>
      <c r="C79">
        <v>0</v>
      </c>
      <c r="D79">
        <v>6752.06</v>
      </c>
      <c r="E79">
        <v>0</v>
      </c>
      <c r="F79">
        <f t="shared" si="3"/>
        <v>73288.760339999993</v>
      </c>
      <c r="G79">
        <f t="shared" si="5"/>
        <v>6750.81</v>
      </c>
      <c r="H79" t="e">
        <f t="shared" si="4"/>
        <v>#N/A</v>
      </c>
    </row>
    <row r="80" spans="1:8">
      <c r="A80" s="2">
        <v>42826</v>
      </c>
      <c r="B80">
        <v>75220.057849999997</v>
      </c>
      <c r="C80">
        <v>30926.115730000001</v>
      </c>
      <c r="D80">
        <v>6751.65</v>
      </c>
      <c r="E80">
        <v>6109.64</v>
      </c>
      <c r="F80">
        <f t="shared" si="3"/>
        <v>75220.057849999997</v>
      </c>
      <c r="G80">
        <f t="shared" si="5"/>
        <v>6751.8549999999996</v>
      </c>
      <c r="H80">
        <f t="shared" si="4"/>
        <v>0.19755600908113138</v>
      </c>
    </row>
    <row r="81" spans="1:8">
      <c r="A81" s="2">
        <v>42856</v>
      </c>
      <c r="B81">
        <v>331180.82643999998</v>
      </c>
      <c r="C81">
        <v>85963.140499999994</v>
      </c>
      <c r="D81">
        <v>6759.83</v>
      </c>
      <c r="E81">
        <v>16632.490000000002</v>
      </c>
      <c r="F81">
        <f t="shared" si="3"/>
        <v>331180.82643999998</v>
      </c>
      <c r="G81">
        <f t="shared" si="5"/>
        <v>6755.74</v>
      </c>
      <c r="H81">
        <f t="shared" si="4"/>
        <v>0.19348397351769625</v>
      </c>
    </row>
    <row r="82" spans="1:8">
      <c r="A82" s="2">
        <v>42887</v>
      </c>
      <c r="B82">
        <v>231269.99173000001</v>
      </c>
      <c r="C82">
        <v>43664.049579999999</v>
      </c>
      <c r="D82">
        <v>6751.78</v>
      </c>
      <c r="E82">
        <v>8490.36</v>
      </c>
      <c r="F82">
        <f t="shared" si="3"/>
        <v>231269.99173000001</v>
      </c>
      <c r="G82">
        <f t="shared" si="5"/>
        <v>6755.8050000000003</v>
      </c>
      <c r="H82">
        <f t="shared" si="4"/>
        <v>0.1944473790605292</v>
      </c>
    </row>
    <row r="83" spans="1:8">
      <c r="A83" s="2">
        <v>42917</v>
      </c>
      <c r="B83">
        <v>120685.28928</v>
      </c>
      <c r="C83">
        <v>95672.066130000007</v>
      </c>
      <c r="D83">
        <v>6746.24</v>
      </c>
      <c r="E83">
        <v>18193.490000000002</v>
      </c>
      <c r="F83">
        <f t="shared" si="3"/>
        <v>120685.28928</v>
      </c>
      <c r="G83">
        <f t="shared" si="5"/>
        <v>6749.01</v>
      </c>
      <c r="H83">
        <f t="shared" si="4"/>
        <v>0.19016512066624061</v>
      </c>
    </row>
    <row r="84" spans="1:8">
      <c r="A84" s="2">
        <v>42948</v>
      </c>
      <c r="B84">
        <v>119137.43801</v>
      </c>
      <c r="C84">
        <v>118953.05785</v>
      </c>
      <c r="D84">
        <v>6744.79</v>
      </c>
      <c r="E84">
        <v>22161.58</v>
      </c>
      <c r="F84">
        <f t="shared" si="3"/>
        <v>119137.43801</v>
      </c>
      <c r="G84">
        <f t="shared" si="5"/>
        <v>6745.5149999999994</v>
      </c>
      <c r="H84">
        <f t="shared" si="4"/>
        <v>0.18630525688499569</v>
      </c>
    </row>
    <row r="85" spans="1:8">
      <c r="A85" s="2">
        <v>42979</v>
      </c>
      <c r="B85">
        <v>115152.23140999999</v>
      </c>
      <c r="C85">
        <v>114919.99997999999</v>
      </c>
      <c r="D85">
        <v>6748.63</v>
      </c>
      <c r="E85">
        <v>21737.57</v>
      </c>
      <c r="F85">
        <f t="shared" si="3"/>
        <v>115152.23140999999</v>
      </c>
      <c r="G85">
        <f t="shared" si="5"/>
        <v>6746.71</v>
      </c>
      <c r="H85">
        <f t="shared" si="4"/>
        <v>0.18915393320382073</v>
      </c>
    </row>
    <row r="86" spans="1:8">
      <c r="A86" s="2">
        <v>43009</v>
      </c>
      <c r="B86">
        <v>108838.28101999999</v>
      </c>
      <c r="C86">
        <v>108665.45453</v>
      </c>
      <c r="D86">
        <v>6751.2</v>
      </c>
      <c r="E86">
        <v>20971.73</v>
      </c>
      <c r="F86">
        <f t="shared" si="3"/>
        <v>108838.28101999999</v>
      </c>
      <c r="G86">
        <f t="shared" si="5"/>
        <v>6749.915</v>
      </c>
      <c r="H86">
        <f t="shared" si="4"/>
        <v>0.19299353313991977</v>
      </c>
    </row>
    <row r="87" spans="1:8">
      <c r="A87" s="2">
        <v>43040</v>
      </c>
      <c r="B87">
        <v>46356.859499999999</v>
      </c>
      <c r="C87">
        <v>46213.884319999997</v>
      </c>
      <c r="D87">
        <v>6749.89</v>
      </c>
      <c r="E87">
        <v>7870.72</v>
      </c>
      <c r="F87">
        <f t="shared" si="3"/>
        <v>46356.859499999999</v>
      </c>
      <c r="G87">
        <f t="shared" si="5"/>
        <v>6750.5450000000001</v>
      </c>
      <c r="H87">
        <f t="shared" si="4"/>
        <v>0.17031072189259336</v>
      </c>
    </row>
    <row r="88" spans="1:8">
      <c r="A88" s="2">
        <v>43070</v>
      </c>
      <c r="B88">
        <v>97368.016520000005</v>
      </c>
      <c r="C88">
        <v>97185.371899999998</v>
      </c>
      <c r="D88">
        <v>6749.23</v>
      </c>
      <c r="E88">
        <v>18946.47</v>
      </c>
      <c r="F88">
        <f t="shared" si="3"/>
        <v>97368.016520000005</v>
      </c>
      <c r="G88">
        <f t="shared" si="5"/>
        <v>6749.5599999999995</v>
      </c>
      <c r="H88">
        <f t="shared" si="4"/>
        <v>0.19495187011781143</v>
      </c>
    </row>
    <row r="89" spans="1:8">
      <c r="A89" s="2">
        <v>43101</v>
      </c>
      <c r="B89">
        <v>66474.710720000003</v>
      </c>
      <c r="C89">
        <v>62350.082620000001</v>
      </c>
      <c r="D89">
        <v>6747.99</v>
      </c>
      <c r="E89">
        <v>11566</v>
      </c>
      <c r="F89">
        <f t="shared" si="3"/>
        <v>66474.710720000003</v>
      </c>
      <c r="G89">
        <f t="shared" si="5"/>
        <v>6748.61</v>
      </c>
      <c r="H89">
        <f t="shared" si="4"/>
        <v>0.18550095707956576</v>
      </c>
    </row>
    <row r="90" spans="1:8">
      <c r="A90" s="2">
        <v>43132</v>
      </c>
      <c r="B90">
        <v>36451.818180000002</v>
      </c>
      <c r="C90">
        <v>16299.50412</v>
      </c>
      <c r="D90">
        <v>6750.06</v>
      </c>
      <c r="E90">
        <v>2558.62</v>
      </c>
      <c r="F90">
        <f t="shared" si="3"/>
        <v>36451.818180000002</v>
      </c>
      <c r="G90">
        <f t="shared" si="5"/>
        <v>6749.0249999999996</v>
      </c>
      <c r="H90">
        <f t="shared" si="4"/>
        <v>0.15697532766413999</v>
      </c>
    </row>
    <row r="91" spans="1:8">
      <c r="A91" s="2">
        <v>43160</v>
      </c>
      <c r="B91">
        <v>52968.760349999997</v>
      </c>
      <c r="C91">
        <v>52786.033040000002</v>
      </c>
      <c r="D91">
        <v>6747.97</v>
      </c>
      <c r="E91">
        <v>9169.25</v>
      </c>
      <c r="F91">
        <f t="shared" si="3"/>
        <v>52968.760349999997</v>
      </c>
      <c r="G91">
        <f t="shared" si="5"/>
        <v>6749.0150000000003</v>
      </c>
      <c r="H91">
        <f t="shared" si="4"/>
        <v>0.17370598758674971</v>
      </c>
    </row>
    <row r="92" spans="1:8">
      <c r="A92" s="2">
        <v>43191</v>
      </c>
      <c r="B92">
        <v>83970.578529999999</v>
      </c>
      <c r="C92">
        <v>83792.231409999993</v>
      </c>
      <c r="D92">
        <v>6749.35</v>
      </c>
      <c r="E92">
        <v>16210.6</v>
      </c>
      <c r="F92">
        <f t="shared" si="3"/>
        <v>83970.578529999999</v>
      </c>
      <c r="G92">
        <f t="shared" si="5"/>
        <v>6748.66</v>
      </c>
      <c r="H92">
        <f t="shared" si="4"/>
        <v>0.19346184875636793</v>
      </c>
    </row>
    <row r="93" spans="1:8">
      <c r="A93" s="2">
        <v>43221</v>
      </c>
      <c r="B93">
        <v>102293.14049999999</v>
      </c>
      <c r="C93">
        <v>102115.78513</v>
      </c>
      <c r="D93">
        <v>6749.41</v>
      </c>
      <c r="E93">
        <v>19734.84</v>
      </c>
      <c r="F93">
        <f t="shared" si="3"/>
        <v>102293.14049999999</v>
      </c>
      <c r="G93">
        <f t="shared" si="5"/>
        <v>6749.38</v>
      </c>
      <c r="H93">
        <f t="shared" si="4"/>
        <v>0.19325944539207401</v>
      </c>
    </row>
    <row r="94" spans="1:8">
      <c r="A94" s="2">
        <v>43252</v>
      </c>
      <c r="B94">
        <v>101923.96696000001</v>
      </c>
      <c r="C94">
        <v>101745.61981</v>
      </c>
      <c r="D94">
        <v>6750.48</v>
      </c>
      <c r="E94">
        <v>19554.71</v>
      </c>
      <c r="F94">
        <f t="shared" si="3"/>
        <v>101923.96696000001</v>
      </c>
      <c r="G94">
        <f t="shared" si="5"/>
        <v>6749.9449999999997</v>
      </c>
      <c r="H94">
        <f t="shared" si="4"/>
        <v>0.1921921556575753</v>
      </c>
    </row>
    <row r="95" spans="1:8">
      <c r="A95" s="2">
        <v>43282</v>
      </c>
      <c r="B95">
        <v>102773.55370999999</v>
      </c>
      <c r="C95">
        <v>102588.84298</v>
      </c>
      <c r="D95">
        <v>6750.59</v>
      </c>
      <c r="E95">
        <v>19959.32</v>
      </c>
      <c r="F95">
        <f t="shared" si="3"/>
        <v>102773.55370999999</v>
      </c>
      <c r="G95">
        <f t="shared" si="5"/>
        <v>6750.5349999999999</v>
      </c>
      <c r="H95">
        <f t="shared" si="4"/>
        <v>0.19455643927957281</v>
      </c>
    </row>
    <row r="96" spans="1:8">
      <c r="A96" s="2">
        <v>43313</v>
      </c>
      <c r="B96">
        <v>97805.867750000005</v>
      </c>
      <c r="C96">
        <v>97618.760299999994</v>
      </c>
      <c r="D96">
        <v>6744.83</v>
      </c>
      <c r="E96">
        <v>18983.37</v>
      </c>
      <c r="F96">
        <f t="shared" si="3"/>
        <v>97805.867750000005</v>
      </c>
      <c r="G96">
        <f t="shared" si="5"/>
        <v>6747.71</v>
      </c>
      <c r="H96">
        <f t="shared" si="4"/>
        <v>0.19446436260469496</v>
      </c>
    </row>
    <row r="97" spans="1:8">
      <c r="A97" s="2">
        <v>43344</v>
      </c>
      <c r="B97">
        <v>87457.520669999998</v>
      </c>
      <c r="C97">
        <v>87277.93389</v>
      </c>
      <c r="D97">
        <v>6737.22</v>
      </c>
      <c r="E97">
        <v>16265.91</v>
      </c>
      <c r="F97">
        <f t="shared" si="3"/>
        <v>87457.520669999998</v>
      </c>
      <c r="G97">
        <f t="shared" si="5"/>
        <v>6741.0249999999996</v>
      </c>
      <c r="H97">
        <f t="shared" si="4"/>
        <v>0.18636910012673535</v>
      </c>
    </row>
    <row r="98" spans="1:8">
      <c r="A98" s="2">
        <v>43374</v>
      </c>
      <c r="B98">
        <v>55262.892590000003</v>
      </c>
      <c r="C98">
        <v>55049.917379999999</v>
      </c>
      <c r="D98">
        <v>6751.87</v>
      </c>
      <c r="E98">
        <v>9406.0300000000007</v>
      </c>
      <c r="F98">
        <f t="shared" si="3"/>
        <v>55262.892590000003</v>
      </c>
      <c r="G98">
        <f t="shared" si="5"/>
        <v>6744.5450000000001</v>
      </c>
      <c r="H98">
        <f t="shared" si="4"/>
        <v>0.17086365334704887</v>
      </c>
    </row>
    <row r="99" spans="1:8">
      <c r="A99" s="2">
        <v>43405</v>
      </c>
      <c r="B99">
        <v>21115.867760000001</v>
      </c>
      <c r="C99">
        <v>20701.735540000001</v>
      </c>
      <c r="D99">
        <v>6743.11</v>
      </c>
      <c r="E99">
        <v>1586.81</v>
      </c>
      <c r="F99">
        <f t="shared" si="3"/>
        <v>21115.867760000001</v>
      </c>
      <c r="G99">
        <f t="shared" si="5"/>
        <v>6747.49</v>
      </c>
      <c r="H99">
        <f t="shared" si="4"/>
        <v>7.6651061305172088E-2</v>
      </c>
    </row>
    <row r="100" spans="1:8">
      <c r="A100" s="2">
        <v>43435</v>
      </c>
      <c r="B100">
        <v>21772.644680000001</v>
      </c>
      <c r="C100">
        <v>21342.314030000001</v>
      </c>
      <c r="D100">
        <v>6745.32</v>
      </c>
      <c r="E100">
        <v>1636.07</v>
      </c>
      <c r="F100">
        <f t="shared" si="3"/>
        <v>21772.644680000001</v>
      </c>
      <c r="G100">
        <f t="shared" si="5"/>
        <v>6744.2150000000001</v>
      </c>
      <c r="H100">
        <f t="shared" si="4"/>
        <v>7.6658510304939032E-2</v>
      </c>
    </row>
    <row r="101" spans="1:8">
      <c r="A101" s="2">
        <v>43466</v>
      </c>
      <c r="B101">
        <v>21636.363649999999</v>
      </c>
      <c r="C101">
        <v>18903.553690000001</v>
      </c>
      <c r="D101">
        <v>6746.57</v>
      </c>
      <c r="E101">
        <v>1455.95</v>
      </c>
      <c r="F101">
        <f t="shared" si="3"/>
        <v>21636.363649999999</v>
      </c>
      <c r="G101">
        <f t="shared" si="5"/>
        <v>6745.9449999999997</v>
      </c>
      <c r="H101">
        <f t="shared" si="4"/>
        <v>7.7019909794537683E-2</v>
      </c>
    </row>
    <row r="102" spans="1:8">
      <c r="A102" s="2">
        <v>43497</v>
      </c>
      <c r="B102">
        <v>26181.900819999999</v>
      </c>
      <c r="C102">
        <v>9306.1983299999993</v>
      </c>
      <c r="D102">
        <v>6748.26</v>
      </c>
      <c r="E102">
        <v>1237.58</v>
      </c>
      <c r="F102">
        <f t="shared" si="3"/>
        <v>26181.900819999999</v>
      </c>
      <c r="G102">
        <f t="shared" si="5"/>
        <v>6747.415</v>
      </c>
      <c r="H102">
        <f t="shared" si="4"/>
        <v>0.13298448583568925</v>
      </c>
    </row>
    <row r="103" spans="1:8">
      <c r="A103" s="2">
        <v>43525</v>
      </c>
      <c r="B103">
        <v>30433.966919999999</v>
      </c>
      <c r="C103">
        <v>30054.95865</v>
      </c>
      <c r="D103">
        <v>6752.77</v>
      </c>
      <c r="E103">
        <v>4048.26</v>
      </c>
      <c r="F103">
        <f t="shared" si="3"/>
        <v>30433.966919999999</v>
      </c>
      <c r="G103">
        <f t="shared" si="5"/>
        <v>6750.5150000000003</v>
      </c>
      <c r="H103">
        <f t="shared" si="4"/>
        <v>0.13469524437359359</v>
      </c>
    </row>
    <row r="104" spans="1:8">
      <c r="A104" s="2">
        <v>43556</v>
      </c>
      <c r="B104">
        <v>55277.438009999998</v>
      </c>
      <c r="C104">
        <v>55088.6777</v>
      </c>
      <c r="D104">
        <v>6753.29</v>
      </c>
      <c r="E104">
        <v>10047.56</v>
      </c>
      <c r="F104">
        <f t="shared" si="3"/>
        <v>55277.438009999998</v>
      </c>
      <c r="G104">
        <f t="shared" si="5"/>
        <v>6753.0300000000007</v>
      </c>
      <c r="H104">
        <f t="shared" si="4"/>
        <v>0.1823888395854526</v>
      </c>
    </row>
    <row r="105" spans="1:8">
      <c r="A105" s="2">
        <v>43586</v>
      </c>
      <c r="B105">
        <v>152767.93388999999</v>
      </c>
      <c r="C105">
        <v>107811.81818</v>
      </c>
      <c r="D105">
        <v>6759.3</v>
      </c>
      <c r="E105">
        <v>21076.01</v>
      </c>
      <c r="F105">
        <f t="shared" si="3"/>
        <v>152767.93388999999</v>
      </c>
      <c r="G105">
        <f t="shared" si="5"/>
        <v>6756.2950000000001</v>
      </c>
      <c r="H105">
        <f t="shared" si="4"/>
        <v>0.19548886528202319</v>
      </c>
    </row>
    <row r="106" spans="1:8">
      <c r="A106" s="2">
        <v>43617</v>
      </c>
      <c r="B106">
        <v>282251.48761000001</v>
      </c>
      <c r="C106">
        <v>115135.45456</v>
      </c>
      <c r="D106">
        <v>6753.12</v>
      </c>
      <c r="E106">
        <v>22100.01</v>
      </c>
      <c r="F106">
        <f t="shared" si="3"/>
        <v>282251.48761000001</v>
      </c>
      <c r="G106">
        <f t="shared" si="5"/>
        <v>6756.21</v>
      </c>
      <c r="H106">
        <f t="shared" si="4"/>
        <v>0.19194791113178022</v>
      </c>
    </row>
    <row r="107" spans="1:8">
      <c r="A107" s="2">
        <v>43647</v>
      </c>
      <c r="B107">
        <v>178331.57024</v>
      </c>
      <c r="C107">
        <v>121266.11568</v>
      </c>
      <c r="D107">
        <v>6746.79</v>
      </c>
      <c r="E107">
        <v>22551.54</v>
      </c>
      <c r="F107">
        <f t="shared" si="3"/>
        <v>178331.57024</v>
      </c>
      <c r="G107">
        <f t="shared" si="5"/>
        <v>6749.9549999999999</v>
      </c>
      <c r="H107">
        <f t="shared" si="4"/>
        <v>0.18596736502643127</v>
      </c>
    </row>
    <row r="108" spans="1:8">
      <c r="A108" s="2">
        <v>43678</v>
      </c>
      <c r="B108">
        <v>147168.67767999999</v>
      </c>
      <c r="C108">
        <v>119382.97521</v>
      </c>
      <c r="D108">
        <v>6733.35</v>
      </c>
      <c r="E108">
        <v>21722.84</v>
      </c>
      <c r="F108">
        <f t="shared" si="3"/>
        <v>147168.67767999999</v>
      </c>
      <c r="G108">
        <f t="shared" si="5"/>
        <v>6740.07</v>
      </c>
      <c r="H108">
        <f t="shared" si="4"/>
        <v>0.1819592782118937</v>
      </c>
    </row>
    <row r="109" spans="1:8">
      <c r="A109" s="2">
        <v>43709</v>
      </c>
      <c r="B109">
        <v>94500.495859999995</v>
      </c>
      <c r="C109">
        <v>94252.479330000002</v>
      </c>
      <c r="D109">
        <v>6750.61</v>
      </c>
      <c r="E109">
        <v>17908.73</v>
      </c>
      <c r="F109">
        <f t="shared" si="3"/>
        <v>94500.495859999995</v>
      </c>
      <c r="G109">
        <f t="shared" si="5"/>
        <v>6741.98</v>
      </c>
      <c r="H109">
        <f t="shared" si="4"/>
        <v>0.19000805206722829</v>
      </c>
    </row>
    <row r="110" spans="1:8">
      <c r="A110" s="2">
        <v>43739</v>
      </c>
      <c r="B110">
        <v>92497.107440000007</v>
      </c>
      <c r="C110">
        <v>92193.884300000005</v>
      </c>
      <c r="D110">
        <v>6749.75</v>
      </c>
      <c r="E110">
        <v>17711.12</v>
      </c>
      <c r="F110">
        <f t="shared" si="3"/>
        <v>92497.107440000007</v>
      </c>
      <c r="G110">
        <f t="shared" si="5"/>
        <v>6750.18</v>
      </c>
      <c r="H110">
        <f t="shared" si="4"/>
        <v>0.19210731963920516</v>
      </c>
    </row>
    <row r="111" spans="1:8">
      <c r="A111" s="2">
        <v>43770</v>
      </c>
      <c r="B111">
        <v>76065.950400000002</v>
      </c>
      <c r="C111">
        <v>75792.479349999994</v>
      </c>
      <c r="D111">
        <v>6746.9</v>
      </c>
      <c r="E111">
        <v>14397.29</v>
      </c>
      <c r="F111">
        <f t="shared" si="3"/>
        <v>76065.950400000002</v>
      </c>
      <c r="G111">
        <f t="shared" si="5"/>
        <v>6748.3249999999998</v>
      </c>
      <c r="H111">
        <f t="shared" si="4"/>
        <v>0.18995670973521203</v>
      </c>
    </row>
    <row r="112" spans="1:8">
      <c r="A112" s="2">
        <v>43800</v>
      </c>
      <c r="B112">
        <v>89286.776859999998</v>
      </c>
      <c r="C112">
        <v>89040.826440000004</v>
      </c>
      <c r="D112">
        <v>6746.4</v>
      </c>
      <c r="E112">
        <v>17065.509999999998</v>
      </c>
      <c r="F112">
        <f t="shared" si="3"/>
        <v>89286.776859999998</v>
      </c>
      <c r="G112">
        <f t="shared" si="5"/>
        <v>6746.65</v>
      </c>
      <c r="H112">
        <f t="shared" si="4"/>
        <v>0.19165938460263013</v>
      </c>
    </row>
    <row r="113" spans="1:8">
      <c r="A113" s="2">
        <v>43831</v>
      </c>
      <c r="B113">
        <v>66732.148740000004</v>
      </c>
      <c r="C113">
        <v>57915.950440000001</v>
      </c>
      <c r="D113">
        <v>6745.61</v>
      </c>
      <c r="E113">
        <v>10678.99</v>
      </c>
      <c r="F113">
        <f t="shared" si="3"/>
        <v>66732.148740000004</v>
      </c>
      <c r="G113">
        <f t="shared" si="5"/>
        <v>6746.0049999999992</v>
      </c>
      <c r="H113">
        <f t="shared" si="4"/>
        <v>0.18438771908031212</v>
      </c>
    </row>
    <row r="114" spans="1:8">
      <c r="A114" s="2">
        <v>43862</v>
      </c>
      <c r="B114">
        <v>43032.627280000001</v>
      </c>
      <c r="C114">
        <v>23655.93305</v>
      </c>
      <c r="D114">
        <v>6748.71</v>
      </c>
      <c r="E114">
        <v>4170.95</v>
      </c>
      <c r="F114">
        <f t="shared" si="3"/>
        <v>43032.627280000001</v>
      </c>
      <c r="G114">
        <f t="shared" si="5"/>
        <v>6747.16</v>
      </c>
      <c r="H114">
        <f t="shared" si="4"/>
        <v>0.17631728967038143</v>
      </c>
    </row>
    <row r="115" spans="1:8">
      <c r="A115" s="2">
        <v>43891</v>
      </c>
      <c r="B115">
        <v>45667.50619</v>
      </c>
      <c r="C115">
        <v>44611.307840000001</v>
      </c>
      <c r="D115">
        <v>6754.38</v>
      </c>
      <c r="E115">
        <v>7223.98</v>
      </c>
      <c r="F115">
        <f t="shared" si="3"/>
        <v>45667.50619</v>
      </c>
      <c r="G115">
        <f t="shared" si="5"/>
        <v>6751.5450000000001</v>
      </c>
      <c r="H115">
        <f t="shared" si="4"/>
        <v>0.16193158976439456</v>
      </c>
    </row>
    <row r="116" spans="1:8">
      <c r="A116" s="2">
        <v>43922</v>
      </c>
      <c r="B116">
        <v>80765.343829999998</v>
      </c>
      <c r="C116">
        <v>80646.335510000004</v>
      </c>
      <c r="D116">
        <v>6754.37</v>
      </c>
      <c r="E116">
        <v>15846.51</v>
      </c>
      <c r="F116">
        <f t="shared" si="3"/>
        <v>80765.343829999998</v>
      </c>
      <c r="G116">
        <f t="shared" si="5"/>
        <v>6754.375</v>
      </c>
      <c r="H116">
        <f t="shared" si="4"/>
        <v>0.19649386298569091</v>
      </c>
    </row>
    <row r="117" spans="1:8">
      <c r="A117" s="2">
        <v>43952</v>
      </c>
      <c r="B117">
        <v>120512.33309</v>
      </c>
      <c r="C117">
        <v>99364.729699999996</v>
      </c>
      <c r="D117">
        <v>6754.46</v>
      </c>
      <c r="E117">
        <v>19475.48</v>
      </c>
      <c r="F117">
        <f t="shared" si="3"/>
        <v>120512.33309</v>
      </c>
      <c r="G117">
        <f t="shared" si="5"/>
        <v>6754.415</v>
      </c>
      <c r="H117">
        <f t="shared" si="4"/>
        <v>0.19599992933911237</v>
      </c>
    </row>
    <row r="118" spans="1:8">
      <c r="A118" s="2">
        <v>43983</v>
      </c>
      <c r="B118">
        <v>92538.337199999994</v>
      </c>
      <c r="C118">
        <v>92407.428119999997</v>
      </c>
      <c r="D118">
        <v>6747.34</v>
      </c>
      <c r="E118">
        <v>18229.439999999999</v>
      </c>
      <c r="F118">
        <f t="shared" si="3"/>
        <v>92538.337199999994</v>
      </c>
      <c r="G118">
        <f t="shared" si="5"/>
        <v>6750.9</v>
      </c>
      <c r="H118">
        <f t="shared" si="4"/>
        <v>0.19727245277649438</v>
      </c>
    </row>
    <row r="119" spans="1:8">
      <c r="A119" s="2">
        <v>44013</v>
      </c>
      <c r="B119">
        <v>94118.925619999995</v>
      </c>
      <c r="C119">
        <v>93995.950440000001</v>
      </c>
      <c r="D119">
        <v>6750.2</v>
      </c>
      <c r="E119">
        <v>18381</v>
      </c>
      <c r="F119">
        <f t="shared" si="3"/>
        <v>94118.925619999995</v>
      </c>
      <c r="G119">
        <f t="shared" si="5"/>
        <v>6748.77</v>
      </c>
      <c r="H119">
        <f t="shared" si="4"/>
        <v>0.19555097761081802</v>
      </c>
    </row>
    <row r="120" spans="1:8">
      <c r="A120" s="2">
        <v>44044</v>
      </c>
      <c r="B120">
        <v>97199.23633</v>
      </c>
      <c r="C120">
        <v>97068.823139999993</v>
      </c>
      <c r="D120">
        <v>6750.09</v>
      </c>
      <c r="E120">
        <v>19004.28</v>
      </c>
      <c r="F120">
        <f t="shared" si="3"/>
        <v>97199.23633</v>
      </c>
      <c r="G120">
        <f t="shared" si="5"/>
        <v>6750.1450000000004</v>
      </c>
      <c r="H120">
        <f t="shared" si="4"/>
        <v>0.19578150208528428</v>
      </c>
    </row>
    <row r="121" spans="1:8">
      <c r="A121" s="2">
        <v>44075</v>
      </c>
      <c r="B121">
        <v>85382.312399999995</v>
      </c>
      <c r="C121">
        <v>58623.304129999997</v>
      </c>
      <c r="D121">
        <v>6749.98</v>
      </c>
      <c r="E121">
        <v>11068.46</v>
      </c>
      <c r="F121">
        <f t="shared" si="3"/>
        <v>85382.312399999995</v>
      </c>
      <c r="G121">
        <f t="shared" si="5"/>
        <v>6750.0349999999999</v>
      </c>
      <c r="H121">
        <f t="shared" si="4"/>
        <v>0.18880648513866016</v>
      </c>
    </row>
    <row r="122" spans="1:8">
      <c r="A122" s="2">
        <v>44105</v>
      </c>
      <c r="B122">
        <v>67497.818180000002</v>
      </c>
      <c r="C122">
        <v>48733.851219999997</v>
      </c>
      <c r="D122">
        <v>6751.39</v>
      </c>
      <c r="E122">
        <v>9023.85</v>
      </c>
      <c r="F122">
        <f t="shared" si="3"/>
        <v>67497.818180000002</v>
      </c>
      <c r="G122">
        <f t="shared" si="5"/>
        <v>6750.6849999999995</v>
      </c>
      <c r="H122">
        <f t="shared" si="4"/>
        <v>0.18516595290742549</v>
      </c>
    </row>
    <row r="123" spans="1:8">
      <c r="A123" s="2">
        <v>44136</v>
      </c>
      <c r="B123">
        <v>25239.39255</v>
      </c>
      <c r="C123">
        <v>24916.086780000001</v>
      </c>
      <c r="D123">
        <v>6751.22</v>
      </c>
      <c r="E123">
        <v>2711.79</v>
      </c>
      <c r="F123">
        <f t="shared" si="3"/>
        <v>25239.39255</v>
      </c>
      <c r="G123">
        <f t="shared" si="5"/>
        <v>6751.3050000000003</v>
      </c>
      <c r="H123">
        <f t="shared" si="4"/>
        <v>0.10883691423714008</v>
      </c>
    </row>
    <row r="124" spans="1:8">
      <c r="A124" s="2">
        <v>44166</v>
      </c>
      <c r="B124">
        <v>25620.853729999999</v>
      </c>
      <c r="C124">
        <v>25355.316569999999</v>
      </c>
      <c r="D124">
        <v>6751.57</v>
      </c>
      <c r="E124">
        <v>2791.96</v>
      </c>
      <c r="F124">
        <f t="shared" si="3"/>
        <v>25620.853729999999</v>
      </c>
      <c r="G124">
        <f t="shared" si="5"/>
        <v>6751.3950000000004</v>
      </c>
      <c r="H124">
        <f t="shared" si="4"/>
        <v>0.11011339544083634</v>
      </c>
    </row>
    <row r="125" spans="1:8">
      <c r="A125" s="2">
        <v>44197</v>
      </c>
      <c r="B125">
        <v>25492.770250000001</v>
      </c>
      <c r="C125">
        <v>25331.20002</v>
      </c>
      <c r="D125">
        <v>6748.38</v>
      </c>
      <c r="E125">
        <v>2764.23</v>
      </c>
      <c r="F125">
        <f t="shared" si="3"/>
        <v>25492.770250000001</v>
      </c>
      <c r="G125">
        <f t="shared" si="5"/>
        <v>6749.9750000000004</v>
      </c>
      <c r="H125">
        <f t="shared" si="4"/>
        <v>0.10912353136912303</v>
      </c>
    </row>
    <row r="126" spans="1:8">
      <c r="A126" s="2">
        <v>44228</v>
      </c>
      <c r="B126">
        <v>23196.057860000001</v>
      </c>
      <c r="C126">
        <v>23047.214919999999</v>
      </c>
      <c r="D126">
        <v>6748.83</v>
      </c>
      <c r="E126">
        <v>2467.77</v>
      </c>
      <c r="F126">
        <f t="shared" si="3"/>
        <v>23196.057860000001</v>
      </c>
      <c r="G126">
        <f t="shared" si="5"/>
        <v>6748.6049999999996</v>
      </c>
      <c r="H126">
        <f t="shared" si="4"/>
        <v>0.10707454278384454</v>
      </c>
    </row>
    <row r="127" spans="1:8">
      <c r="A127" s="2">
        <v>44256</v>
      </c>
      <c r="B127">
        <v>36937.138019999999</v>
      </c>
      <c r="C127">
        <v>36688.047120000003</v>
      </c>
      <c r="D127">
        <v>6748.74</v>
      </c>
      <c r="E127">
        <v>5535.21</v>
      </c>
      <c r="F127">
        <f t="shared" si="3"/>
        <v>36937.138019999999</v>
      </c>
      <c r="G127">
        <f t="shared" si="5"/>
        <v>6748.7849999999999</v>
      </c>
      <c r="H127">
        <f t="shared" si="4"/>
        <v>0.15087229859619739</v>
      </c>
    </row>
    <row r="128" spans="1:8">
      <c r="A128" s="2">
        <v>44287</v>
      </c>
      <c r="B128">
        <v>86817.713199999998</v>
      </c>
      <c r="C128">
        <v>86499.779339999994</v>
      </c>
      <c r="D128">
        <v>6752.67</v>
      </c>
      <c r="E128">
        <v>16890.189999999999</v>
      </c>
      <c r="F128">
        <f t="shared" si="3"/>
        <v>86817.713199999998</v>
      </c>
      <c r="G128">
        <f t="shared" si="5"/>
        <v>6750.7049999999999</v>
      </c>
      <c r="H128">
        <f t="shared" si="4"/>
        <v>0.19526281025077122</v>
      </c>
    </row>
    <row r="129" spans="1:8">
      <c r="A129" s="2">
        <v>44317</v>
      </c>
      <c r="B129">
        <v>100344.79588000001</v>
      </c>
      <c r="C129">
        <v>99725.357860000004</v>
      </c>
      <c r="D129">
        <v>6753.35</v>
      </c>
      <c r="E129">
        <v>19831.57</v>
      </c>
      <c r="F129">
        <f t="shared" si="3"/>
        <v>100344.79588000001</v>
      </c>
      <c r="G129">
        <f t="shared" si="5"/>
        <v>6753.01</v>
      </c>
      <c r="H129">
        <f t="shared" si="4"/>
        <v>0.19886185846372856</v>
      </c>
    </row>
    <row r="130" spans="1:8">
      <c r="A130" s="2">
        <v>44348</v>
      </c>
      <c r="B130">
        <v>94190.942179999998</v>
      </c>
      <c r="C130">
        <v>93790.611560000005</v>
      </c>
      <c r="D130">
        <v>6751.32</v>
      </c>
      <c r="E130">
        <v>18640</v>
      </c>
      <c r="F130">
        <f t="shared" si="3"/>
        <v>94190.942179999998</v>
      </c>
      <c r="G130">
        <f t="shared" si="5"/>
        <v>6752.335</v>
      </c>
      <c r="H130">
        <f t="shared" si="4"/>
        <v>0.19874057424261024</v>
      </c>
    </row>
    <row r="131" spans="1:8">
      <c r="A131" s="2">
        <v>44378</v>
      </c>
      <c r="B131">
        <v>103044.40661999999</v>
      </c>
      <c r="C131">
        <v>102676.91899000001</v>
      </c>
      <c r="D131">
        <v>6750.41</v>
      </c>
      <c r="E131">
        <v>20274.48</v>
      </c>
      <c r="F131">
        <f t="shared" ref="F131:F181" si="6">B131</f>
        <v>103044.40661999999</v>
      </c>
      <c r="G131">
        <f t="shared" si="5"/>
        <v>6750.8649999999998</v>
      </c>
      <c r="H131">
        <f t="shared" ref="H131:H181" si="7">IFERROR(E131/C131,NA())</f>
        <v>0.19745898298696116</v>
      </c>
    </row>
    <row r="132" spans="1:8">
      <c r="A132" s="2">
        <v>44409</v>
      </c>
      <c r="B132">
        <v>100057.13552</v>
      </c>
      <c r="C132">
        <v>99730.523950000003</v>
      </c>
      <c r="D132">
        <v>6751.69</v>
      </c>
      <c r="E132">
        <v>19671.330000000002</v>
      </c>
      <c r="F132">
        <f t="shared" si="6"/>
        <v>100057.13552</v>
      </c>
      <c r="G132">
        <f t="shared" ref="G132:G181" si="8">0.5*(D131+D132)</f>
        <v>6751.0499999999993</v>
      </c>
      <c r="H132">
        <f t="shared" si="7"/>
        <v>0.1972448275701654</v>
      </c>
    </row>
    <row r="133" spans="1:8">
      <c r="A133" s="2">
        <v>44440</v>
      </c>
      <c r="B133">
        <v>95712.838059999995</v>
      </c>
      <c r="C133">
        <v>95422.507400000002</v>
      </c>
      <c r="D133">
        <v>6752.92</v>
      </c>
      <c r="E133">
        <v>18983.509999999998</v>
      </c>
      <c r="F133">
        <f t="shared" si="6"/>
        <v>95712.838059999995</v>
      </c>
      <c r="G133">
        <f t="shared" si="8"/>
        <v>6752.3050000000003</v>
      </c>
      <c r="H133">
        <f t="shared" si="7"/>
        <v>0.19894163879411952</v>
      </c>
    </row>
    <row r="134" spans="1:8">
      <c r="A134" s="2">
        <v>44470</v>
      </c>
      <c r="B134">
        <v>66019.717369999998</v>
      </c>
      <c r="C134">
        <v>34131.618210000001</v>
      </c>
      <c r="D134">
        <v>6752.35</v>
      </c>
      <c r="E134">
        <v>6583.52</v>
      </c>
      <c r="F134">
        <f t="shared" si="6"/>
        <v>66019.717369999998</v>
      </c>
      <c r="G134">
        <f t="shared" si="8"/>
        <v>6752.6350000000002</v>
      </c>
      <c r="H134">
        <f t="shared" si="7"/>
        <v>0.1928862546010531</v>
      </c>
    </row>
    <row r="135" spans="1:8">
      <c r="A135" s="2">
        <v>44501</v>
      </c>
      <c r="B135">
        <v>21898.463640000002</v>
      </c>
      <c r="C135">
        <v>21524.744589999998</v>
      </c>
      <c r="D135">
        <v>6749.65</v>
      </c>
      <c r="E135">
        <v>1849</v>
      </c>
      <c r="F135">
        <f t="shared" si="6"/>
        <v>21898.463640000002</v>
      </c>
      <c r="G135">
        <f t="shared" si="8"/>
        <v>6751</v>
      </c>
      <c r="H135">
        <f t="shared" si="7"/>
        <v>8.590113542434373E-2</v>
      </c>
    </row>
    <row r="136" spans="1:8">
      <c r="A136" s="2">
        <v>44531</v>
      </c>
      <c r="B136">
        <v>20715.830559999999</v>
      </c>
      <c r="C136">
        <v>20439.797490000001</v>
      </c>
      <c r="D136">
        <v>6750.09</v>
      </c>
      <c r="E136">
        <v>1546</v>
      </c>
      <c r="F136">
        <f t="shared" si="6"/>
        <v>20715.830559999999</v>
      </c>
      <c r="G136">
        <f t="shared" si="8"/>
        <v>6749.87</v>
      </c>
      <c r="H136">
        <f t="shared" si="7"/>
        <v>7.5636757201550928E-2</v>
      </c>
    </row>
    <row r="137" spans="1:8">
      <c r="A137" s="2">
        <v>44562</v>
      </c>
      <c r="B137">
        <v>20500.141319999999</v>
      </c>
      <c r="C137">
        <v>20305.761149999998</v>
      </c>
      <c r="D137">
        <v>6750.38</v>
      </c>
      <c r="E137">
        <v>1424.8</v>
      </c>
      <c r="F137">
        <f t="shared" si="6"/>
        <v>20500.141319999999</v>
      </c>
      <c r="G137">
        <f t="shared" si="8"/>
        <v>6750.2350000000006</v>
      </c>
      <c r="H137">
        <f t="shared" si="7"/>
        <v>7.0167278609991932E-2</v>
      </c>
    </row>
    <row r="138" spans="1:8">
      <c r="A138" s="2">
        <v>44593</v>
      </c>
      <c r="B138">
        <v>18424.94628</v>
      </c>
      <c r="C138">
        <v>18281.475259999999</v>
      </c>
      <c r="D138">
        <v>6746.37</v>
      </c>
      <c r="E138">
        <v>1305.3900000000001</v>
      </c>
      <c r="F138">
        <f t="shared" si="6"/>
        <v>18424.94628</v>
      </c>
      <c r="G138">
        <f t="shared" si="8"/>
        <v>6748.375</v>
      </c>
      <c r="H138">
        <f t="shared" si="7"/>
        <v>7.1405068870793093E-2</v>
      </c>
    </row>
    <row r="139" spans="1:8">
      <c r="A139" s="2">
        <v>44621</v>
      </c>
      <c r="B139">
        <v>32328.036349999998</v>
      </c>
      <c r="C139">
        <v>31805.309079999999</v>
      </c>
      <c r="D139">
        <v>6752.56</v>
      </c>
      <c r="E139">
        <v>4344.16</v>
      </c>
      <c r="F139">
        <f t="shared" si="6"/>
        <v>32328.036349999998</v>
      </c>
      <c r="G139">
        <f t="shared" si="8"/>
        <v>6749.4650000000001</v>
      </c>
      <c r="H139">
        <f t="shared" si="7"/>
        <v>0.13658600169780208</v>
      </c>
    </row>
    <row r="140" spans="1:8">
      <c r="A140" s="2">
        <v>44652</v>
      </c>
      <c r="B140">
        <v>54451.940470000001</v>
      </c>
      <c r="C140">
        <v>53631.940479999997</v>
      </c>
      <c r="D140">
        <v>6752.33</v>
      </c>
      <c r="E140">
        <v>9602.42</v>
      </c>
      <c r="F140">
        <f t="shared" si="6"/>
        <v>54451.940470000001</v>
      </c>
      <c r="G140">
        <f t="shared" si="8"/>
        <v>6752.4449999999997</v>
      </c>
      <c r="H140">
        <f t="shared" si="7"/>
        <v>0.1790429343793902</v>
      </c>
    </row>
    <row r="141" spans="1:8">
      <c r="A141" s="2">
        <v>44682</v>
      </c>
      <c r="B141">
        <v>105725.40499</v>
      </c>
      <c r="C141">
        <v>92272.925600000002</v>
      </c>
      <c r="D141">
        <v>6751.4</v>
      </c>
      <c r="E141">
        <v>17724.669999999998</v>
      </c>
      <c r="F141">
        <f t="shared" si="6"/>
        <v>105725.40499</v>
      </c>
      <c r="G141">
        <f t="shared" si="8"/>
        <v>6751.8649999999998</v>
      </c>
      <c r="H141">
        <f t="shared" si="7"/>
        <v>0.19208960683479182</v>
      </c>
    </row>
    <row r="142" spans="1:8">
      <c r="A142" s="2">
        <v>44713</v>
      </c>
      <c r="B142">
        <v>81222.483470000006</v>
      </c>
      <c r="C142">
        <v>79677.855339999995</v>
      </c>
      <c r="D142">
        <v>6752.67</v>
      </c>
      <c r="E142">
        <v>15582.15</v>
      </c>
      <c r="F142">
        <f t="shared" si="6"/>
        <v>81222.483470000006</v>
      </c>
      <c r="G142">
        <f t="shared" si="8"/>
        <v>6752.0349999999999</v>
      </c>
      <c r="H142">
        <f t="shared" si="7"/>
        <v>0.195564375239621</v>
      </c>
    </row>
    <row r="143" spans="1:8">
      <c r="A143" s="2">
        <v>44743</v>
      </c>
      <c r="B143">
        <v>89940.581820000007</v>
      </c>
      <c r="C143">
        <v>89640.829729999998</v>
      </c>
      <c r="D143">
        <v>6747.68</v>
      </c>
      <c r="E143">
        <v>17493.38</v>
      </c>
      <c r="F143">
        <f t="shared" si="6"/>
        <v>89940.581820000007</v>
      </c>
      <c r="G143">
        <f t="shared" si="8"/>
        <v>6750.1750000000002</v>
      </c>
      <c r="H143">
        <f t="shared" si="7"/>
        <v>0.19514968851460229</v>
      </c>
    </row>
    <row r="144" spans="1:8">
      <c r="A144" s="2">
        <v>44774</v>
      </c>
      <c r="B144">
        <v>92598.492559999999</v>
      </c>
      <c r="C144">
        <v>92271.550440000006</v>
      </c>
      <c r="D144">
        <v>6751.52</v>
      </c>
      <c r="E144">
        <v>17998.52</v>
      </c>
      <c r="F144">
        <f t="shared" si="6"/>
        <v>92598.492559999999</v>
      </c>
      <c r="G144">
        <f t="shared" si="8"/>
        <v>6749.6</v>
      </c>
      <c r="H144">
        <f t="shared" si="7"/>
        <v>0.1950603399874983</v>
      </c>
    </row>
    <row r="145" spans="1:8">
      <c r="A145" s="2">
        <v>44805</v>
      </c>
      <c r="B145">
        <v>80336.102480000001</v>
      </c>
      <c r="C145">
        <v>68502.300829999993</v>
      </c>
      <c r="D145">
        <v>6750.17</v>
      </c>
      <c r="E145">
        <v>13293.3</v>
      </c>
      <c r="F145">
        <f t="shared" si="6"/>
        <v>80336.102480000001</v>
      </c>
      <c r="G145">
        <f t="shared" si="8"/>
        <v>6750.8450000000003</v>
      </c>
      <c r="H145">
        <f t="shared" si="7"/>
        <v>0.19405625561380141</v>
      </c>
    </row>
    <row r="146" spans="1:8">
      <c r="A146" s="2">
        <v>44835</v>
      </c>
      <c r="B146">
        <v>62662.059459999997</v>
      </c>
      <c r="C146">
        <v>53074.456180000001</v>
      </c>
      <c r="D146">
        <v>6751.29</v>
      </c>
      <c r="E146">
        <v>9708.09</v>
      </c>
      <c r="F146">
        <f t="shared" si="6"/>
        <v>62662.059459999997</v>
      </c>
      <c r="G146">
        <f t="shared" si="8"/>
        <v>6750.73</v>
      </c>
      <c r="H146">
        <f t="shared" si="7"/>
        <v>0.18291454493806553</v>
      </c>
    </row>
    <row r="147" spans="1:8">
      <c r="A147" s="2">
        <v>44866</v>
      </c>
      <c r="B147">
        <v>22839.063620000001</v>
      </c>
      <c r="C147">
        <v>20961.12976</v>
      </c>
      <c r="D147">
        <v>6752.92</v>
      </c>
      <c r="E147">
        <v>1993.32</v>
      </c>
      <c r="F147">
        <f t="shared" si="6"/>
        <v>22839.063620000001</v>
      </c>
      <c r="G147">
        <f t="shared" si="8"/>
        <v>6752.1049999999996</v>
      </c>
      <c r="H147">
        <f t="shared" si="7"/>
        <v>9.5096019290135822E-2</v>
      </c>
    </row>
    <row r="148" spans="1:8">
      <c r="A148" s="2">
        <v>44896</v>
      </c>
      <c r="B148">
        <v>22461.1901</v>
      </c>
      <c r="C148">
        <v>22319.371879999999</v>
      </c>
      <c r="D148">
        <v>6751.64</v>
      </c>
      <c r="E148">
        <v>1989.68</v>
      </c>
      <c r="F148">
        <f t="shared" si="6"/>
        <v>22461.1901</v>
      </c>
      <c r="G148">
        <f t="shared" si="8"/>
        <v>6752.2800000000007</v>
      </c>
      <c r="H148">
        <f t="shared" si="7"/>
        <v>8.9145877881219304E-2</v>
      </c>
    </row>
    <row r="149" spans="1:8">
      <c r="A149" s="2">
        <v>44927</v>
      </c>
      <c r="B149">
        <v>22099.717799999999</v>
      </c>
      <c r="C149">
        <v>21973.147440000001</v>
      </c>
      <c r="D149">
        <v>6751.37</v>
      </c>
      <c r="E149">
        <v>1797.82</v>
      </c>
      <c r="F149">
        <f t="shared" si="6"/>
        <v>22099.717799999999</v>
      </c>
      <c r="G149">
        <f t="shared" si="8"/>
        <v>6751.5050000000001</v>
      </c>
      <c r="H149">
        <f t="shared" si="7"/>
        <v>8.1818956747509081E-2</v>
      </c>
    </row>
    <row r="150" spans="1:8">
      <c r="A150" s="2">
        <v>44958</v>
      </c>
      <c r="B150">
        <v>20047.676039999998</v>
      </c>
      <c r="C150">
        <v>3755.3156899999999</v>
      </c>
      <c r="D150">
        <v>6751.71</v>
      </c>
      <c r="E150">
        <v>292.12</v>
      </c>
      <c r="F150">
        <f t="shared" si="6"/>
        <v>20047.676039999998</v>
      </c>
      <c r="G150">
        <f t="shared" si="8"/>
        <v>6751.54</v>
      </c>
      <c r="H150">
        <f t="shared" si="7"/>
        <v>7.778840026096448E-2</v>
      </c>
    </row>
    <row r="151" spans="1:8">
      <c r="A151" s="2">
        <v>44986</v>
      </c>
      <c r="B151">
        <v>22115.206620000001</v>
      </c>
      <c r="C151">
        <v>0</v>
      </c>
      <c r="D151">
        <v>6751.16</v>
      </c>
      <c r="E151">
        <v>0</v>
      </c>
      <c r="F151">
        <f t="shared" si="6"/>
        <v>22115.206620000001</v>
      </c>
      <c r="G151">
        <f t="shared" si="8"/>
        <v>6751.4349999999995</v>
      </c>
      <c r="H151" t="e">
        <f t="shared" si="7"/>
        <v>#N/A</v>
      </c>
    </row>
    <row r="152" spans="1:8">
      <c r="A152" s="2">
        <v>45017</v>
      </c>
      <c r="B152">
        <v>41411.2909</v>
      </c>
      <c r="C152">
        <v>20120.2</v>
      </c>
      <c r="D152">
        <v>6752.29</v>
      </c>
      <c r="E152">
        <v>3455.23</v>
      </c>
      <c r="F152">
        <f t="shared" si="6"/>
        <v>41411.2909</v>
      </c>
      <c r="G152">
        <f t="shared" si="8"/>
        <v>6751.7250000000004</v>
      </c>
      <c r="H152">
        <f t="shared" si="7"/>
        <v>0.17172940626832733</v>
      </c>
    </row>
    <row r="153" spans="1:8">
      <c r="A153" s="2">
        <v>45047</v>
      </c>
      <c r="B153">
        <v>154613.50330000001</v>
      </c>
      <c r="C153">
        <v>108036.6686</v>
      </c>
      <c r="D153">
        <v>6751.26</v>
      </c>
      <c r="E153">
        <v>20469.45</v>
      </c>
      <c r="F153">
        <f t="shared" si="6"/>
        <v>154613.50330000001</v>
      </c>
      <c r="G153">
        <f t="shared" si="8"/>
        <v>6751.7749999999996</v>
      </c>
      <c r="H153">
        <f t="shared" si="7"/>
        <v>0.18946761562768144</v>
      </c>
    </row>
    <row r="154" spans="1:8">
      <c r="A154" s="2">
        <v>45078</v>
      </c>
      <c r="B154">
        <v>173960.51818000001</v>
      </c>
      <c r="C154">
        <v>118998.36943999999</v>
      </c>
      <c r="D154">
        <v>6757.16</v>
      </c>
      <c r="E154">
        <v>22469.15</v>
      </c>
      <c r="F154">
        <f t="shared" si="6"/>
        <v>173960.51818000001</v>
      </c>
      <c r="G154">
        <f t="shared" si="8"/>
        <v>6754.21</v>
      </c>
      <c r="H154">
        <f t="shared" si="7"/>
        <v>0.18881897378710841</v>
      </c>
    </row>
    <row r="155" spans="1:8">
      <c r="A155" s="2">
        <v>45108</v>
      </c>
      <c r="B155">
        <v>138400.46942000001</v>
      </c>
      <c r="C155">
        <v>117269.22979</v>
      </c>
      <c r="D155">
        <v>6752.61</v>
      </c>
      <c r="E155">
        <v>22239.91</v>
      </c>
      <c r="F155">
        <f t="shared" si="6"/>
        <v>138400.46942000001</v>
      </c>
      <c r="G155">
        <f t="shared" si="8"/>
        <v>6754.8850000000002</v>
      </c>
      <c r="H155">
        <f t="shared" si="7"/>
        <v>0.18964829938617439</v>
      </c>
    </row>
    <row r="156" spans="1:8">
      <c r="A156" s="2">
        <v>45139</v>
      </c>
      <c r="B156">
        <v>107916.10497</v>
      </c>
      <c r="C156">
        <v>107684.03872</v>
      </c>
      <c r="D156">
        <v>6751.75</v>
      </c>
      <c r="E156">
        <v>20699.310000000001</v>
      </c>
      <c r="F156">
        <f t="shared" si="6"/>
        <v>107916.10497</v>
      </c>
      <c r="G156">
        <f t="shared" si="8"/>
        <v>6752.18</v>
      </c>
      <c r="H156">
        <f t="shared" si="7"/>
        <v>0.1922226380626598</v>
      </c>
    </row>
    <row r="157" spans="1:8">
      <c r="A157" s="2">
        <v>45170</v>
      </c>
      <c r="B157">
        <v>104236.07188</v>
      </c>
      <c r="C157">
        <v>103967.47674</v>
      </c>
      <c r="D157">
        <v>6752</v>
      </c>
      <c r="E157">
        <v>19991.27</v>
      </c>
      <c r="F157">
        <f t="shared" si="6"/>
        <v>104236.07188</v>
      </c>
      <c r="G157">
        <f t="shared" si="8"/>
        <v>6751.875</v>
      </c>
      <c r="H157">
        <f t="shared" si="7"/>
        <v>0.1922838817180666</v>
      </c>
    </row>
    <row r="158" spans="1:8">
      <c r="A158" s="2">
        <v>45200</v>
      </c>
      <c r="B158">
        <v>70460.738870000001</v>
      </c>
      <c r="C158">
        <v>31622.970219999999</v>
      </c>
      <c r="D158">
        <v>6747.66</v>
      </c>
      <c r="E158">
        <v>5951.79</v>
      </c>
      <c r="F158">
        <f t="shared" si="6"/>
        <v>70460.738870000001</v>
      </c>
      <c r="G158">
        <f t="shared" si="8"/>
        <v>6749.83</v>
      </c>
      <c r="H158">
        <f t="shared" si="7"/>
        <v>0.18821097318163305</v>
      </c>
    </row>
    <row r="159" spans="1:8">
      <c r="A159" s="2">
        <v>45231</v>
      </c>
      <c r="B159">
        <v>35287.03802</v>
      </c>
      <c r="C159">
        <v>35035.219859999997</v>
      </c>
      <c r="D159">
        <v>6747.08</v>
      </c>
      <c r="E159">
        <v>5108.34</v>
      </c>
      <c r="F159">
        <f t="shared" si="6"/>
        <v>35287.03802</v>
      </c>
      <c r="G159">
        <f t="shared" si="8"/>
        <v>6747.37</v>
      </c>
      <c r="H159">
        <f t="shared" si="7"/>
        <v>0.14580584966821442</v>
      </c>
    </row>
    <row r="160" spans="1:8">
      <c r="A160" s="2">
        <v>45261</v>
      </c>
      <c r="B160">
        <v>38266.605790000001</v>
      </c>
      <c r="C160">
        <v>38081.399169999997</v>
      </c>
      <c r="D160">
        <v>6747.95</v>
      </c>
      <c r="E160">
        <v>5708.09</v>
      </c>
      <c r="F160">
        <f t="shared" si="6"/>
        <v>38266.605790000001</v>
      </c>
      <c r="G160">
        <f t="shared" si="8"/>
        <v>6747.5149999999994</v>
      </c>
      <c r="H160">
        <f t="shared" si="7"/>
        <v>0.14989181396719151</v>
      </c>
    </row>
    <row r="161" spans="1:8">
      <c r="A161" s="2">
        <v>45292</v>
      </c>
      <c r="B161">
        <v>36863.320670000001</v>
      </c>
      <c r="C161">
        <v>36678.940540000003</v>
      </c>
      <c r="D161">
        <v>6751.96</v>
      </c>
      <c r="E161">
        <v>5371.22</v>
      </c>
      <c r="F161">
        <f t="shared" si="6"/>
        <v>36863.320670000001</v>
      </c>
      <c r="G161">
        <f t="shared" si="8"/>
        <v>6749.9549999999999</v>
      </c>
      <c r="H161">
        <f t="shared" si="7"/>
        <v>0.1464387989653749</v>
      </c>
    </row>
    <row r="162" spans="1:8">
      <c r="A162" s="2">
        <v>45323</v>
      </c>
      <c r="B162">
        <v>35635.519800000002</v>
      </c>
      <c r="C162">
        <v>35463.205809999999</v>
      </c>
      <c r="D162">
        <v>6727.27</v>
      </c>
      <c r="E162">
        <v>5311.75</v>
      </c>
      <c r="F162">
        <f t="shared" si="6"/>
        <v>35635.519800000002</v>
      </c>
      <c r="G162">
        <f t="shared" si="8"/>
        <v>6739.6149999999998</v>
      </c>
      <c r="H162">
        <f t="shared" si="7"/>
        <v>0.14978200302754863</v>
      </c>
    </row>
    <row r="163" spans="1:8">
      <c r="A163" s="2">
        <v>45352</v>
      </c>
      <c r="B163">
        <v>52621.710749999998</v>
      </c>
      <c r="C163">
        <v>52434.27274</v>
      </c>
      <c r="D163">
        <v>6752.01</v>
      </c>
      <c r="E163">
        <v>8864.94</v>
      </c>
      <c r="F163">
        <f t="shared" si="6"/>
        <v>52621.710749999998</v>
      </c>
      <c r="G163">
        <f t="shared" si="8"/>
        <v>6739.64</v>
      </c>
      <c r="H163">
        <f t="shared" si="7"/>
        <v>0.16906766389147024</v>
      </c>
    </row>
    <row r="164" spans="1:8">
      <c r="A164" s="2">
        <v>45383</v>
      </c>
      <c r="B164">
        <v>88518.430529999998</v>
      </c>
      <c r="C164">
        <v>88338.761169999998</v>
      </c>
      <c r="D164">
        <v>6751.48</v>
      </c>
      <c r="E164">
        <v>17172.939999999999</v>
      </c>
      <c r="F164">
        <f t="shared" si="6"/>
        <v>88518.430529999998</v>
      </c>
      <c r="G164">
        <f t="shared" si="8"/>
        <v>6751.7449999999999</v>
      </c>
      <c r="H164">
        <f t="shared" si="7"/>
        <v>0.19439869625239845</v>
      </c>
    </row>
    <row r="165" spans="1:8">
      <c r="A165" s="2">
        <v>45413</v>
      </c>
      <c r="B165">
        <v>252500.19008999999</v>
      </c>
      <c r="C165">
        <v>114894.0876</v>
      </c>
      <c r="D165">
        <v>6759.05</v>
      </c>
      <c r="E165">
        <v>21990.2</v>
      </c>
      <c r="F165">
        <f t="shared" si="6"/>
        <v>252500.19008999999</v>
      </c>
      <c r="G165">
        <f t="shared" si="8"/>
        <v>6755.2649999999994</v>
      </c>
      <c r="H165">
        <f t="shared" si="7"/>
        <v>0.1913954012721539</v>
      </c>
    </row>
    <row r="166" spans="1:8">
      <c r="A166" s="2">
        <v>45444</v>
      </c>
      <c r="B166">
        <v>173479.49171999999</v>
      </c>
      <c r="C166">
        <v>105905.93801</v>
      </c>
      <c r="D166">
        <v>6751.89</v>
      </c>
      <c r="E166">
        <v>20587.12</v>
      </c>
      <c r="F166">
        <f t="shared" si="6"/>
        <v>173479.49171999999</v>
      </c>
      <c r="G166">
        <f t="shared" si="8"/>
        <v>6755.47</v>
      </c>
      <c r="H166">
        <f t="shared" si="7"/>
        <v>0.19439061101612728</v>
      </c>
    </row>
    <row r="167" spans="1:8">
      <c r="A167" s="2">
        <v>45474</v>
      </c>
      <c r="B167">
        <v>121006.57686</v>
      </c>
      <c r="C167">
        <v>111628.19255000001</v>
      </c>
      <c r="D167">
        <v>6751.7</v>
      </c>
      <c r="E167">
        <v>21471.56</v>
      </c>
      <c r="F167">
        <f t="shared" si="6"/>
        <v>121006.57686</v>
      </c>
      <c r="G167">
        <f t="shared" si="8"/>
        <v>6751.7950000000001</v>
      </c>
      <c r="H167">
        <f t="shared" si="7"/>
        <v>0.19234889958809065</v>
      </c>
    </row>
    <row r="168" spans="1:8">
      <c r="A168" s="2">
        <v>45505</v>
      </c>
      <c r="B168">
        <v>102946.41735</v>
      </c>
      <c r="C168">
        <v>102105.92148999999</v>
      </c>
      <c r="D168">
        <v>6747.78</v>
      </c>
      <c r="E168">
        <v>19736.09</v>
      </c>
      <c r="F168">
        <f t="shared" si="6"/>
        <v>102946.41735</v>
      </c>
      <c r="G168">
        <f t="shared" si="8"/>
        <v>6749.74</v>
      </c>
      <c r="H168">
        <f t="shared" si="7"/>
        <v>0.19329035683726634</v>
      </c>
    </row>
    <row r="169" spans="1:8">
      <c r="A169" s="2">
        <v>45536</v>
      </c>
      <c r="B169">
        <v>86338.776029999994</v>
      </c>
      <c r="C169">
        <v>86076.701650000003</v>
      </c>
      <c r="D169">
        <v>6741.65</v>
      </c>
      <c r="E169">
        <v>16703.62</v>
      </c>
      <c r="F169">
        <f t="shared" si="6"/>
        <v>86338.776029999994</v>
      </c>
      <c r="G169">
        <f t="shared" si="8"/>
        <v>6744.7150000000001</v>
      </c>
      <c r="H169">
        <f t="shared" si="7"/>
        <v>0.19405506577051793</v>
      </c>
    </row>
    <row r="170" spans="1:8">
      <c r="A170" s="2">
        <v>45566</v>
      </c>
      <c r="B170">
        <v>84439.867370000007</v>
      </c>
      <c r="C170">
        <v>19058.412810000002</v>
      </c>
      <c r="D170">
        <v>6748.8</v>
      </c>
      <c r="E170">
        <v>3403.59</v>
      </c>
      <c r="F170">
        <f t="shared" si="6"/>
        <v>84439.867370000007</v>
      </c>
      <c r="G170">
        <f t="shared" si="8"/>
        <v>6745.2250000000004</v>
      </c>
      <c r="H170">
        <f t="shared" si="7"/>
        <v>0.17858727449822723</v>
      </c>
    </row>
    <row r="171" spans="1:8">
      <c r="A171" s="2">
        <v>45597</v>
      </c>
      <c r="B171">
        <v>23276.298360000001</v>
      </c>
      <c r="C171">
        <v>9259.3562199999997</v>
      </c>
      <c r="D171">
        <v>6751.3</v>
      </c>
      <c r="E171">
        <v>952.06</v>
      </c>
      <c r="F171">
        <f t="shared" si="6"/>
        <v>23276.298360000001</v>
      </c>
      <c r="G171">
        <f t="shared" si="8"/>
        <v>6750.05</v>
      </c>
      <c r="H171">
        <f t="shared" si="7"/>
        <v>0.102821403278942</v>
      </c>
    </row>
    <row r="172" spans="1:8">
      <c r="A172" s="2">
        <v>45627</v>
      </c>
      <c r="B172">
        <v>30048.48101</v>
      </c>
      <c r="C172">
        <v>29843.770240000002</v>
      </c>
      <c r="D172">
        <v>6750.63</v>
      </c>
      <c r="E172">
        <v>4001.47</v>
      </c>
      <c r="F172">
        <f t="shared" si="6"/>
        <v>30048.48101</v>
      </c>
      <c r="G172">
        <f t="shared" si="8"/>
        <v>6750.9650000000001</v>
      </c>
      <c r="H172">
        <f t="shared" si="7"/>
        <v>0.13408057922375963</v>
      </c>
    </row>
    <row r="173" spans="1:8">
      <c r="A173" s="2">
        <v>45658</v>
      </c>
      <c r="B173">
        <v>36972.82228</v>
      </c>
      <c r="C173">
        <v>32717.450410000001</v>
      </c>
      <c r="D173">
        <v>6748.76</v>
      </c>
      <c r="E173">
        <v>4910.83</v>
      </c>
      <c r="F173">
        <f t="shared" si="6"/>
        <v>36972.82228</v>
      </c>
      <c r="G173">
        <f t="shared" si="8"/>
        <v>6749.6949999999997</v>
      </c>
      <c r="H173">
        <f t="shared" si="7"/>
        <v>0.15009818731165611</v>
      </c>
    </row>
    <row r="174" spans="1:8">
      <c r="A174" s="2">
        <v>45689</v>
      </c>
      <c r="B174">
        <v>36508.210729999999</v>
      </c>
      <c r="C174">
        <v>36334.243820000003</v>
      </c>
      <c r="D174">
        <v>6751.77</v>
      </c>
      <c r="E174">
        <v>5754.67</v>
      </c>
      <c r="F174">
        <f t="shared" si="6"/>
        <v>36508.210729999999</v>
      </c>
      <c r="G174">
        <f t="shared" si="8"/>
        <v>6750.2650000000003</v>
      </c>
      <c r="H174">
        <f t="shared" si="7"/>
        <v>0.15838144392129527</v>
      </c>
    </row>
    <row r="175" spans="1:8">
      <c r="A175" s="2">
        <v>45717</v>
      </c>
      <c r="B175">
        <v>56586.06942</v>
      </c>
      <c r="C175">
        <v>56394.085950000001</v>
      </c>
      <c r="D175">
        <v>6752.75</v>
      </c>
      <c r="E175">
        <v>10230.049999999999</v>
      </c>
      <c r="F175">
        <f t="shared" si="6"/>
        <v>56586.06942</v>
      </c>
      <c r="G175">
        <f t="shared" si="8"/>
        <v>6752.26</v>
      </c>
      <c r="H175">
        <f t="shared" si="7"/>
        <v>0.18140288698127219</v>
      </c>
    </row>
    <row r="176" spans="1:8">
      <c r="A176" s="2">
        <v>45748</v>
      </c>
      <c r="B176">
        <v>81441.962839999993</v>
      </c>
      <c r="C176">
        <v>81251.714859999993</v>
      </c>
      <c r="D176">
        <v>6751.73</v>
      </c>
      <c r="E176">
        <v>16012.31</v>
      </c>
      <c r="F176">
        <f t="shared" si="6"/>
        <v>81441.962839999993</v>
      </c>
      <c r="G176">
        <f t="shared" si="8"/>
        <v>6752.24</v>
      </c>
      <c r="H176">
        <f t="shared" si="7"/>
        <v>0.19707042525305293</v>
      </c>
    </row>
    <row r="177" spans="1:8">
      <c r="A177" s="2">
        <v>45778</v>
      </c>
      <c r="B177">
        <v>123330.19425</v>
      </c>
      <c r="C177">
        <v>99661.384279999998</v>
      </c>
      <c r="D177">
        <v>6757.45</v>
      </c>
      <c r="E177">
        <v>19615.490000000002</v>
      </c>
      <c r="F177">
        <f t="shared" si="6"/>
        <v>123330.19425</v>
      </c>
      <c r="G177">
        <f t="shared" si="8"/>
        <v>6754.59</v>
      </c>
      <c r="H177">
        <f t="shared" si="7"/>
        <v>0.19682136809268089</v>
      </c>
    </row>
    <row r="178" spans="1:8">
      <c r="A178" s="2">
        <v>45809</v>
      </c>
      <c r="B178">
        <v>117440.83057000001</v>
      </c>
      <c r="C178">
        <v>99399.425610000006</v>
      </c>
      <c r="D178">
        <v>6752.7</v>
      </c>
      <c r="E178">
        <v>19495.560000000001</v>
      </c>
      <c r="F178">
        <f t="shared" si="6"/>
        <v>117440.83057000001</v>
      </c>
      <c r="G178">
        <f t="shared" si="8"/>
        <v>6755.0749999999998</v>
      </c>
      <c r="H178">
        <f t="shared" si="7"/>
        <v>0.19613352773779674</v>
      </c>
    </row>
    <row r="179" spans="1:8">
      <c r="A179" s="2">
        <v>45839</v>
      </c>
      <c r="B179">
        <v>107558.69834</v>
      </c>
      <c r="C179">
        <v>102381.58266</v>
      </c>
      <c r="D179">
        <v>6752.2</v>
      </c>
      <c r="E179">
        <v>20244.46</v>
      </c>
      <c r="F179">
        <f t="shared" si="6"/>
        <v>107558.69834</v>
      </c>
      <c r="G179">
        <f t="shared" si="8"/>
        <v>6752.45</v>
      </c>
      <c r="H179">
        <f t="shared" si="7"/>
        <v>0.19773536874527545</v>
      </c>
    </row>
    <row r="180" spans="1:8">
      <c r="A180" s="2">
        <v>45870</v>
      </c>
      <c r="B180">
        <v>99163.860329999996</v>
      </c>
      <c r="C180">
        <v>98922.785919999995</v>
      </c>
      <c r="D180">
        <v>6751.19</v>
      </c>
      <c r="E180">
        <v>19529.57</v>
      </c>
      <c r="F180">
        <f t="shared" si="6"/>
        <v>99163.860329999996</v>
      </c>
      <c r="G180">
        <f t="shared" si="8"/>
        <v>6751.6949999999997</v>
      </c>
      <c r="H180">
        <f t="shared" si="7"/>
        <v>0.19742236147487588</v>
      </c>
    </row>
    <row r="181" spans="1:8">
      <c r="A181" s="2">
        <v>45901</v>
      </c>
      <c r="B181">
        <v>85059.663629999995</v>
      </c>
      <c r="C181">
        <v>64843.547930000001</v>
      </c>
      <c r="D181">
        <v>6731.14</v>
      </c>
      <c r="E181">
        <v>12412.56</v>
      </c>
      <c r="F181">
        <f t="shared" si="6"/>
        <v>85059.663629999995</v>
      </c>
      <c r="G181">
        <f t="shared" si="8"/>
        <v>6741.165</v>
      </c>
      <c r="H181">
        <f t="shared" si="7"/>
        <v>0.19142320857272682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Ploussard, Quentin</dc:creator>
  <cp:lastModifiedBy>Ploussard, Quentin</cp:lastModifiedBy>
  <dcterms:created xsi:type="dcterms:W3CDTF">2015-06-05T18:17:20Z</dcterms:created>
  <dcterms:modified xsi:type="dcterms:W3CDTF">2025-11-19T15:50:33Z</dcterms:modified>
</cp:coreProperties>
</file>